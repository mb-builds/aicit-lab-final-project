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649AA5-8A8F-4358-856E-3E9A817A51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ackathon Mock Data" sheetId="1" r:id="rId1"/>
    <sheet name="Maintainer Data" sheetId="3" r:id="rId2"/>
  </sheets>
  <calcPr calcId="191029"/>
</workbook>
</file>

<file path=xl/calcChain.xml><?xml version="1.0" encoding="utf-8"?>
<calcChain xmlns="http://schemas.openxmlformats.org/spreadsheetml/2006/main">
  <c r="M19" i="3" l="1"/>
  <c r="M18" i="3"/>
  <c r="M17" i="3"/>
  <c r="P4" i="3"/>
  <c r="P3" i="3"/>
  <c r="D106" i="1"/>
  <c r="D107" i="1"/>
  <c r="D108" i="1"/>
  <c r="D109" i="1"/>
  <c r="D105" i="1"/>
  <c r="G107" i="1"/>
  <c r="G106" i="1"/>
  <c r="C105" i="1"/>
  <c r="C106" i="1"/>
  <c r="C107" i="1"/>
  <c r="C108" i="1"/>
  <c r="C109" i="1"/>
</calcChain>
</file>

<file path=xl/sharedStrings.xml><?xml version="1.0" encoding="utf-8"?>
<sst xmlns="http://schemas.openxmlformats.org/spreadsheetml/2006/main" count="877" uniqueCount="432">
  <si>
    <t>Participant ID</t>
  </si>
  <si>
    <t>Full Name</t>
  </si>
  <si>
    <t>Email</t>
  </si>
  <si>
    <t>Role</t>
  </si>
  <si>
    <t>Hackathon Theme</t>
  </si>
  <si>
    <t>Project Name</t>
  </si>
  <si>
    <t>Project Link</t>
  </si>
  <si>
    <t>Registration Fee ($)</t>
  </si>
  <si>
    <t>Participation Mode</t>
  </si>
  <si>
    <t>Experience Level</t>
  </si>
  <si>
    <t>Ali Raza</t>
  </si>
  <si>
    <t>ali1@example.com</t>
  </si>
  <si>
    <t>Designer</t>
  </si>
  <si>
    <t>Web Development</t>
  </si>
  <si>
    <t>Web Development Project 1</t>
  </si>
  <si>
    <t>https://github.com/example/project1</t>
  </si>
  <si>
    <t>On-Site</t>
  </si>
  <si>
    <t>Beginner</t>
  </si>
  <si>
    <t>Zain Sheikh</t>
  </si>
  <si>
    <t>zain2@example.com</t>
  </si>
  <si>
    <t>AI &amp; ML</t>
  </si>
  <si>
    <t>AI &amp; ML Project 2</t>
  </si>
  <si>
    <t>https://github.com/example/project2</t>
  </si>
  <si>
    <t>Online</t>
  </si>
  <si>
    <t>Advanced</t>
  </si>
  <si>
    <t>Hassan Butt</t>
  </si>
  <si>
    <t>hassan3@example.com</t>
  </si>
  <si>
    <t>Backend Developer</t>
  </si>
  <si>
    <t>AI &amp; ML Project 3</t>
  </si>
  <si>
    <t>https://github.com/example/project3</t>
  </si>
  <si>
    <t>Umar Iqbal</t>
  </si>
  <si>
    <t>umar4@example.com</t>
  </si>
  <si>
    <t>Robotics</t>
  </si>
  <si>
    <t>Robotics Project 4</t>
  </si>
  <si>
    <t>https://github.com/example/project4</t>
  </si>
  <si>
    <t>Intermediate</t>
  </si>
  <si>
    <t>Noor Hussain</t>
  </si>
  <si>
    <t>noor5@example.com</t>
  </si>
  <si>
    <t>AI &amp; ML Project 5</t>
  </si>
  <si>
    <t>https://github.com/example/project5</t>
  </si>
  <si>
    <t>Sara Khan</t>
  </si>
  <si>
    <t>sara6@example.com</t>
  </si>
  <si>
    <t>Frontend Developer</t>
  </si>
  <si>
    <t>Open Innovation</t>
  </si>
  <si>
    <t>Open Innovation Project 6</t>
  </si>
  <si>
    <t>https://github.com/example/project6</t>
  </si>
  <si>
    <t>Umar Raza</t>
  </si>
  <si>
    <t>umar7@example.com</t>
  </si>
  <si>
    <t>Cybersecurity</t>
  </si>
  <si>
    <t>Cybersecurity Project 7</t>
  </si>
  <si>
    <t>https://github.com/example/project7</t>
  </si>
  <si>
    <t>Fatima Raza</t>
  </si>
  <si>
    <t>fatima8@example.com</t>
  </si>
  <si>
    <t>Data Analyst</t>
  </si>
  <si>
    <t>Robotics Project 8</t>
  </si>
  <si>
    <t>https://github.com/example/project8</t>
  </si>
  <si>
    <t>Fatima Sheikh</t>
  </si>
  <si>
    <t>fatima9@example.com</t>
  </si>
  <si>
    <t>Full Stack Developer</t>
  </si>
  <si>
    <t>Open Innovation Project 9</t>
  </si>
  <si>
    <t>https://github.com/example/project9</t>
  </si>
  <si>
    <t>Ayesha Malik</t>
  </si>
  <si>
    <t>ayesha10@example.com</t>
  </si>
  <si>
    <t>Open Innovation Project 10</t>
  </si>
  <si>
    <t>https://github.com/example/project10</t>
  </si>
  <si>
    <t>Fatima Ahmed</t>
  </si>
  <si>
    <t>fatima11@example.com</t>
  </si>
  <si>
    <t>AI &amp; ML Project 11</t>
  </si>
  <si>
    <t>https://github.com/example/project11</t>
  </si>
  <si>
    <t>Zain Hussain</t>
  </si>
  <si>
    <t>zain12@example.com</t>
  </si>
  <si>
    <t>Cybersecurity Project 12</t>
  </si>
  <si>
    <t>https://github.com/example/project12</t>
  </si>
  <si>
    <t>Bilal Malik</t>
  </si>
  <si>
    <t>bilal13@example.com</t>
  </si>
  <si>
    <t>Web Development Project 13</t>
  </si>
  <si>
    <t>https://github.com/example/project13</t>
  </si>
  <si>
    <t>Hamza Ahmed</t>
  </si>
  <si>
    <t>hamza14@example.com</t>
  </si>
  <si>
    <t>Web Development Project 14</t>
  </si>
  <si>
    <t>https://github.com/example/project14</t>
  </si>
  <si>
    <t>sara15@example.com</t>
  </si>
  <si>
    <t>Web Development Project 15</t>
  </si>
  <si>
    <t>https://github.com/example/project15</t>
  </si>
  <si>
    <t>Fatima Hussain</t>
  </si>
  <si>
    <t>fatima16@example.com</t>
  </si>
  <si>
    <t>Web Development Project 16</t>
  </si>
  <si>
    <t>https://github.com/example/project16</t>
  </si>
  <si>
    <t>Sara Ahmed</t>
  </si>
  <si>
    <t>sara17@example.com</t>
  </si>
  <si>
    <t>Robotics Project 17</t>
  </si>
  <si>
    <t>https://github.com/example/project17</t>
  </si>
  <si>
    <t>Hamza Iqbal</t>
  </si>
  <si>
    <t>hamza18@example.com</t>
  </si>
  <si>
    <t>Open Innovation Project 18</t>
  </si>
  <si>
    <t>https://github.com/example/project18</t>
  </si>
  <si>
    <t>Hamza Sheikh</t>
  </si>
  <si>
    <t>hamza19@example.com</t>
  </si>
  <si>
    <t>Cybersecurity Project 19</t>
  </si>
  <si>
    <t>https://github.com/example/project19</t>
  </si>
  <si>
    <t>Umar Hussain</t>
  </si>
  <si>
    <t>umar20@example.com</t>
  </si>
  <si>
    <t>Robotics Project 20</t>
  </si>
  <si>
    <t>https://github.com/example/project20</t>
  </si>
  <si>
    <t>Ayesha Ahmed</t>
  </si>
  <si>
    <t>ayesha21@example.com</t>
  </si>
  <si>
    <t>AI &amp; ML Project 21</t>
  </si>
  <si>
    <t>https://github.com/example/project21</t>
  </si>
  <si>
    <t>umar22@example.com</t>
  </si>
  <si>
    <t>AI &amp; ML Project 22</t>
  </si>
  <si>
    <t>https://github.com/example/project22</t>
  </si>
  <si>
    <t>Fatima Khan</t>
  </si>
  <si>
    <t>fatima23@example.com</t>
  </si>
  <si>
    <t>AI &amp; ML Project 23</t>
  </si>
  <si>
    <t>https://github.com/example/project23</t>
  </si>
  <si>
    <t>Bilal Hussain</t>
  </si>
  <si>
    <t>bilal24@example.com</t>
  </si>
  <si>
    <t>AI &amp; ML Project 24</t>
  </si>
  <si>
    <t>https://github.com/example/project24</t>
  </si>
  <si>
    <t>umar25@example.com</t>
  </si>
  <si>
    <t>AI &amp; ML Project 25</t>
  </si>
  <si>
    <t>https://github.com/example/project25</t>
  </si>
  <si>
    <t>Zain Raza</t>
  </si>
  <si>
    <t>zain26@example.com</t>
  </si>
  <si>
    <t>Web Development Project 26</t>
  </si>
  <si>
    <t>https://github.com/example/project26</t>
  </si>
  <si>
    <t>Noor Iqbal</t>
  </si>
  <si>
    <t>noor27@example.com</t>
  </si>
  <si>
    <t>Open Innovation Project 27</t>
  </si>
  <si>
    <t>https://github.com/example/project27</t>
  </si>
  <si>
    <t>umar28@example.com</t>
  </si>
  <si>
    <t>AI &amp; ML Project 28</t>
  </si>
  <si>
    <t>https://github.com/example/project28</t>
  </si>
  <si>
    <t>fatima29@example.com</t>
  </si>
  <si>
    <t>AI &amp; ML Project 29</t>
  </si>
  <si>
    <t>https://github.com/example/project29</t>
  </si>
  <si>
    <t>Sara Iqbal</t>
  </si>
  <si>
    <t>sara30@example.com</t>
  </si>
  <si>
    <t>Open Innovation Project 30</t>
  </si>
  <si>
    <t>https://github.com/example/project30</t>
  </si>
  <si>
    <t>Umar Sheikh</t>
  </si>
  <si>
    <t>umar31@example.com</t>
  </si>
  <si>
    <t>Web Development Project 31</t>
  </si>
  <si>
    <t>https://github.com/example/project31</t>
  </si>
  <si>
    <t>Hamza Butt</t>
  </si>
  <si>
    <t>hamza32@example.com</t>
  </si>
  <si>
    <t>AI &amp; ML Project 32</t>
  </si>
  <si>
    <t>https://github.com/example/project32</t>
  </si>
  <si>
    <t>Sara Sheikh</t>
  </si>
  <si>
    <t>sara33@example.com</t>
  </si>
  <si>
    <t>Web Development Project 33</t>
  </si>
  <si>
    <t>https://github.com/example/project33</t>
  </si>
  <si>
    <t>Noor Ahmed</t>
  </si>
  <si>
    <t>noor34@example.com</t>
  </si>
  <si>
    <t>Open Innovation Project 34</t>
  </si>
  <si>
    <t>https://github.com/example/project34</t>
  </si>
  <si>
    <t>Ali Hussain</t>
  </si>
  <si>
    <t>ali35@example.com</t>
  </si>
  <si>
    <t>Open Innovation Project 35</t>
  </si>
  <si>
    <t>https://github.com/example/project35</t>
  </si>
  <si>
    <t>ayesha36@example.com</t>
  </si>
  <si>
    <t>Open Innovation Project 36</t>
  </si>
  <si>
    <t>https://github.com/example/project36</t>
  </si>
  <si>
    <t>ali37@example.com</t>
  </si>
  <si>
    <t>AI &amp; ML Project 37</t>
  </si>
  <si>
    <t>https://github.com/example/project37</t>
  </si>
  <si>
    <t>Sara Raza</t>
  </si>
  <si>
    <t>sara38@example.com</t>
  </si>
  <si>
    <t>AI &amp; ML Project 38</t>
  </si>
  <si>
    <t>https://github.com/example/project38</t>
  </si>
  <si>
    <t>Noor Raza</t>
  </si>
  <si>
    <t>noor39@example.com</t>
  </si>
  <si>
    <t>Robotics Project 39</t>
  </si>
  <si>
    <t>https://github.com/example/project39</t>
  </si>
  <si>
    <t>sara40@example.com</t>
  </si>
  <si>
    <t>Open Innovation Project 40</t>
  </si>
  <si>
    <t>https://github.com/example/project40</t>
  </si>
  <si>
    <t>Hamza Malik</t>
  </si>
  <si>
    <t>hamza41@example.com</t>
  </si>
  <si>
    <t>AI &amp; ML Project 41</t>
  </si>
  <si>
    <t>https://github.com/example/project41</t>
  </si>
  <si>
    <t>Sara Hussain</t>
  </si>
  <si>
    <t>sara42@example.com</t>
  </si>
  <si>
    <t>Cybersecurity Project 42</t>
  </si>
  <si>
    <t>https://github.com/example/project42</t>
  </si>
  <si>
    <t>Ali Sheikh</t>
  </si>
  <si>
    <t>ali43@example.com</t>
  </si>
  <si>
    <t>AI &amp; ML Project 43</t>
  </si>
  <si>
    <t>https://github.com/example/project43</t>
  </si>
  <si>
    <t>fatima44@example.com</t>
  </si>
  <si>
    <t>Open Innovation Project 44</t>
  </si>
  <si>
    <t>https://github.com/example/project44</t>
  </si>
  <si>
    <t>Umar Khan</t>
  </si>
  <si>
    <t>umar45@example.com</t>
  </si>
  <si>
    <t>Robotics Project 45</t>
  </si>
  <si>
    <t>https://github.com/example/project45</t>
  </si>
  <si>
    <t>zain46@example.com</t>
  </si>
  <si>
    <t>Robotics Project 46</t>
  </si>
  <si>
    <t>https://github.com/example/project46</t>
  </si>
  <si>
    <t>ayesha47@example.com</t>
  </si>
  <si>
    <t>Open Innovation Project 47</t>
  </si>
  <si>
    <t>https://github.com/example/project47</t>
  </si>
  <si>
    <t>sara48@example.com</t>
  </si>
  <si>
    <t>Cybersecurity Project 48</t>
  </si>
  <si>
    <t>https://github.com/example/project48</t>
  </si>
  <si>
    <t>Bilal Butt</t>
  </si>
  <si>
    <t>bilal49@example.com</t>
  </si>
  <si>
    <t>Web Development Project 49</t>
  </si>
  <si>
    <t>https://github.com/example/project49</t>
  </si>
  <si>
    <t>hamza50@example.com</t>
  </si>
  <si>
    <t>AI &amp; ML Project 50</t>
  </si>
  <si>
    <t>https://github.com/example/project50</t>
  </si>
  <si>
    <t>Noor Butt</t>
  </si>
  <si>
    <t>noor51@example.com</t>
  </si>
  <si>
    <t>AI &amp; ML Project 51</t>
  </si>
  <si>
    <t>https://github.com/example/project51</t>
  </si>
  <si>
    <t>Fatima Iqbal</t>
  </si>
  <si>
    <t>fatima52@example.com</t>
  </si>
  <si>
    <t>Robotics Project 52</t>
  </si>
  <si>
    <t>https://github.com/example/project52</t>
  </si>
  <si>
    <t>zain53@example.com</t>
  </si>
  <si>
    <t>Open Innovation Project 53</t>
  </si>
  <si>
    <t>https://github.com/example/project53</t>
  </si>
  <si>
    <t>noor54@example.com</t>
  </si>
  <si>
    <t>AI &amp; ML Project 54</t>
  </si>
  <si>
    <t>https://github.com/example/project54</t>
  </si>
  <si>
    <t>Ayesha Butt</t>
  </si>
  <si>
    <t>ayesha55@example.com</t>
  </si>
  <si>
    <t>AI &amp; ML Project 55</t>
  </si>
  <si>
    <t>https://github.com/example/project55</t>
  </si>
  <si>
    <t>umar56@example.com</t>
  </si>
  <si>
    <t>Cybersecurity Project 56</t>
  </si>
  <si>
    <t>https://github.com/example/project56</t>
  </si>
  <si>
    <t>sara57@example.com</t>
  </si>
  <si>
    <t>AI &amp; ML Project 57</t>
  </si>
  <si>
    <t>https://github.com/example/project57</t>
  </si>
  <si>
    <t>Fatima Butt</t>
  </si>
  <si>
    <t>fatima58@example.com</t>
  </si>
  <si>
    <t>Cybersecurity Project 58</t>
  </si>
  <si>
    <t>https://github.com/example/project58</t>
  </si>
  <si>
    <t>Hamza Khan</t>
  </si>
  <si>
    <t>hamza59@example.com</t>
  </si>
  <si>
    <t>Web Development Project 59</t>
  </si>
  <si>
    <t>https://github.com/example/project59</t>
  </si>
  <si>
    <t>noor60@example.com</t>
  </si>
  <si>
    <t>Cybersecurity Project 60</t>
  </si>
  <si>
    <t>https://github.com/example/project60</t>
  </si>
  <si>
    <t>ayesha61@example.com</t>
  </si>
  <si>
    <t>Open Innovation Project 61</t>
  </si>
  <si>
    <t>https://github.com/example/project61</t>
  </si>
  <si>
    <t>ali62@example.com</t>
  </si>
  <si>
    <t>Robotics Project 62</t>
  </si>
  <si>
    <t>https://github.com/example/project62</t>
  </si>
  <si>
    <t>sara63@example.com</t>
  </si>
  <si>
    <t>Cybersecurity Project 63</t>
  </si>
  <si>
    <t>https://github.com/example/project63</t>
  </si>
  <si>
    <t>Ayesha Sheikh</t>
  </si>
  <si>
    <t>ayesha64@example.com</t>
  </si>
  <si>
    <t>Web Development Project 64</t>
  </si>
  <si>
    <t>https://github.com/example/project64</t>
  </si>
  <si>
    <t>Hassan Ahmed</t>
  </si>
  <si>
    <t>hassan65@example.com</t>
  </si>
  <si>
    <t>AI &amp; ML Project 65</t>
  </si>
  <si>
    <t>https://github.com/example/project65</t>
  </si>
  <si>
    <t>Bilal Iqbal</t>
  </si>
  <si>
    <t>bilal66@example.com</t>
  </si>
  <si>
    <t>Web Development Project 66</t>
  </si>
  <si>
    <t>https://github.com/example/project66</t>
  </si>
  <si>
    <t>fatima67@example.com</t>
  </si>
  <si>
    <t>Open Innovation Project 67</t>
  </si>
  <si>
    <t>https://github.com/example/project67</t>
  </si>
  <si>
    <t>Bilal Khan</t>
  </si>
  <si>
    <t>bilal68@example.com</t>
  </si>
  <si>
    <t>Web Development Project 68</t>
  </si>
  <si>
    <t>https://github.com/example/project68</t>
  </si>
  <si>
    <t>Bilal Raza</t>
  </si>
  <si>
    <t>bilal69@example.com</t>
  </si>
  <si>
    <t>Cybersecurity Project 69</t>
  </si>
  <si>
    <t>https://github.com/example/project69</t>
  </si>
  <si>
    <t>ali70@example.com</t>
  </si>
  <si>
    <t>Open Innovation Project 70</t>
  </si>
  <si>
    <t>https://github.com/example/project70</t>
  </si>
  <si>
    <t>noor71@example.com</t>
  </si>
  <si>
    <t>Web Development Project 71</t>
  </si>
  <si>
    <t>https://github.com/example/project71</t>
  </si>
  <si>
    <t>bilal72@example.com</t>
  </si>
  <si>
    <t>Open Innovation Project 72</t>
  </si>
  <si>
    <t>https://github.com/example/project72</t>
  </si>
  <si>
    <t>noor73@example.com</t>
  </si>
  <si>
    <t>Cybersecurity Project 73</t>
  </si>
  <si>
    <t>https://github.com/example/project73</t>
  </si>
  <si>
    <t>fatima74@example.com</t>
  </si>
  <si>
    <t>Robotics Project 74</t>
  </si>
  <si>
    <t>https://github.com/example/project74</t>
  </si>
  <si>
    <t>Fatima Malik</t>
  </si>
  <si>
    <t>fatima75@example.com</t>
  </si>
  <si>
    <t>Cybersecurity Project 75</t>
  </si>
  <si>
    <t>https://github.com/example/project75</t>
  </si>
  <si>
    <t>Ayesha Iqbal</t>
  </si>
  <si>
    <t>ayesha76@example.com</t>
  </si>
  <si>
    <t>Cybersecurity Project 76</t>
  </si>
  <si>
    <t>https://github.com/example/project76</t>
  </si>
  <si>
    <t>zain77@example.com</t>
  </si>
  <si>
    <t>Open Innovation Project 77</t>
  </si>
  <si>
    <t>https://github.com/example/project77</t>
  </si>
  <si>
    <t>Hassan Iqbal</t>
  </si>
  <si>
    <t>hassan78@example.com</t>
  </si>
  <si>
    <t>Web Development Project 78</t>
  </si>
  <si>
    <t>https://github.com/example/project78</t>
  </si>
  <si>
    <t>Sara Malik</t>
  </si>
  <si>
    <t>sara79@example.com</t>
  </si>
  <si>
    <t>Robotics Project 79</t>
  </si>
  <si>
    <t>https://github.com/example/project79</t>
  </si>
  <si>
    <t>Hassan Sheikh</t>
  </si>
  <si>
    <t>hassan80@example.com</t>
  </si>
  <si>
    <t>Cybersecurity Project 80</t>
  </si>
  <si>
    <t>https://github.com/example/project80</t>
  </si>
  <si>
    <t>ali81@example.com</t>
  </si>
  <si>
    <t>Web Development Project 81</t>
  </si>
  <si>
    <t>https://github.com/example/project81</t>
  </si>
  <si>
    <t>hamza82@example.com</t>
  </si>
  <si>
    <t>Open Innovation Project 82</t>
  </si>
  <si>
    <t>https://github.com/example/project82</t>
  </si>
  <si>
    <t>ayesha83@example.com</t>
  </si>
  <si>
    <t>AI &amp; ML Project 83</t>
  </si>
  <si>
    <t>https://github.com/example/project83</t>
  </si>
  <si>
    <t>Zain Iqbal</t>
  </si>
  <si>
    <t>zain84@example.com</t>
  </si>
  <si>
    <t>Cybersecurity Project 84</t>
  </si>
  <si>
    <t>https://github.com/example/project84</t>
  </si>
  <si>
    <t>hamza85@example.com</t>
  </si>
  <si>
    <t>AI &amp; ML Project 85</t>
  </si>
  <si>
    <t>https://github.com/example/project85</t>
  </si>
  <si>
    <t>fatima86@example.com</t>
  </si>
  <si>
    <t>Robotics Project 86</t>
  </si>
  <si>
    <t>https://github.com/example/project86</t>
  </si>
  <si>
    <t>zain87@example.com</t>
  </si>
  <si>
    <t>Open Innovation Project 87</t>
  </si>
  <si>
    <t>https://github.com/example/project87</t>
  </si>
  <si>
    <t>noor88@example.com</t>
  </si>
  <si>
    <t>AI &amp; ML Project 88</t>
  </si>
  <si>
    <t>https://github.com/example/project88</t>
  </si>
  <si>
    <t>Noor Khan</t>
  </si>
  <si>
    <t>noor89@example.com</t>
  </si>
  <si>
    <t>Robotics Project 89</t>
  </si>
  <si>
    <t>https://github.com/example/project89</t>
  </si>
  <si>
    <t>bilal90@example.com</t>
  </si>
  <si>
    <t>Open Innovation Project 90</t>
  </si>
  <si>
    <t>https://github.com/example/project90</t>
  </si>
  <si>
    <t>Hassan Malik</t>
  </si>
  <si>
    <t>hassan91@example.com</t>
  </si>
  <si>
    <t>Open Innovation Project 91</t>
  </si>
  <si>
    <t>https://github.com/example/project91</t>
  </si>
  <si>
    <t>umar92@example.com</t>
  </si>
  <si>
    <t>Web Development Project 92</t>
  </si>
  <si>
    <t>https://github.com/example/project92</t>
  </si>
  <si>
    <t>Zain Butt</t>
  </si>
  <si>
    <t>zain93@example.com</t>
  </si>
  <si>
    <t>Cybersecurity Project 93</t>
  </si>
  <si>
    <t>https://github.com/example/project93</t>
  </si>
  <si>
    <t>noor94@example.com</t>
  </si>
  <si>
    <t>Cybersecurity Project 94</t>
  </si>
  <si>
    <t>https://github.com/example/project94</t>
  </si>
  <si>
    <t>Ali Iqbal</t>
  </si>
  <si>
    <t>ali95@example.com</t>
  </si>
  <si>
    <t>Robotics Project 95</t>
  </si>
  <si>
    <t>https://github.com/example/project95</t>
  </si>
  <si>
    <t>sara96@example.com</t>
  </si>
  <si>
    <t>Cybersecurity Project 96</t>
  </si>
  <si>
    <t>https://github.com/example/project96</t>
  </si>
  <si>
    <t>Zain Malik</t>
  </si>
  <si>
    <t>zain97@example.com</t>
  </si>
  <si>
    <t>Cybersecurity Project 97</t>
  </si>
  <si>
    <t>https://github.com/example/project97</t>
  </si>
  <si>
    <t>bilal98@example.com</t>
  </si>
  <si>
    <t>AI &amp; ML Project 98</t>
  </si>
  <si>
    <t>https://github.com/example/project98</t>
  </si>
  <si>
    <t>hassan99@example.com</t>
  </si>
  <si>
    <t>Robotics Project 99</t>
  </si>
  <si>
    <t>https://github.com/example/project99</t>
  </si>
  <si>
    <t>ali100@example.com</t>
  </si>
  <si>
    <t>Open Innovation Project 100</t>
  </si>
  <si>
    <t>https://github.com/example/project100</t>
  </si>
  <si>
    <t>HackathonID</t>
  </si>
  <si>
    <t>Theme</t>
  </si>
  <si>
    <t>StartDate</t>
  </si>
  <si>
    <t>EndDate</t>
  </si>
  <si>
    <t>DurationHours</t>
  </si>
  <si>
    <t>Mode</t>
  </si>
  <si>
    <t>VenueOrPlatform</t>
  </si>
  <si>
    <t>RegistrationFeeUSD</t>
  </si>
  <si>
    <t>TotalBudgetUSD</t>
  </si>
  <si>
    <t>ExpectedParticipants</t>
  </si>
  <si>
    <t>SponsorName</t>
  </si>
  <si>
    <t>OrganizerEmail</t>
  </si>
  <si>
    <t>Status</t>
  </si>
  <si>
    <t>Zoom + GitHub</t>
  </si>
  <si>
    <t>GitHub</t>
  </si>
  <si>
    <t>Open</t>
  </si>
  <si>
    <t>On-site</t>
  </si>
  <si>
    <t>Planned</t>
  </si>
  <si>
    <t>Google Meet + Kaggle</t>
  </si>
  <si>
    <t>Google</t>
  </si>
  <si>
    <t>WHO</t>
  </si>
  <si>
    <t>Completed</t>
  </si>
  <si>
    <t>Stripe</t>
  </si>
  <si>
    <t>Microsoft</t>
  </si>
  <si>
    <t>Category</t>
  </si>
  <si>
    <t>Hackathons</t>
  </si>
  <si>
    <t>No</t>
  </si>
  <si>
    <t>HACK01</t>
  </si>
  <si>
    <t>web@hackathon.pk</t>
  </si>
  <si>
    <t>HACK02</t>
  </si>
  <si>
    <t>University Main Hall</t>
  </si>
  <si>
    <t>ai@hackathon.pk</t>
  </si>
  <si>
    <t>HACK04</t>
  </si>
  <si>
    <t>data@hackathon.pk</t>
  </si>
  <si>
    <t>HACK05</t>
  </si>
  <si>
    <t>Tech Incubation Center</t>
  </si>
  <si>
    <t>fintech@hackathon.pk</t>
  </si>
  <si>
    <t>HACK06</t>
  </si>
  <si>
    <t>Medical Engineering Block</t>
  </si>
  <si>
    <t>health@hackathon.pk</t>
  </si>
  <si>
    <t>Registrations</t>
  </si>
  <si>
    <t>Fee</t>
  </si>
  <si>
    <t>duration</t>
  </si>
  <si>
    <t>no</t>
  </si>
  <si>
    <t>average registration fee</t>
  </si>
  <si>
    <t>average total budget</t>
  </si>
  <si>
    <t>average Expected participants</t>
  </si>
  <si>
    <t>Entries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</si>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</sst>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On-site</a:t>
            </a:r>
            <a:r>
              <a:rPr lang="en-US" baseline="0"/>
              <a:t> vs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'Hackathon Mock Data'!$F$106:$F$107</c:f>
              <c:strCache>
                <c:ptCount val="2"/>
                <c:pt idx="0">
                  <c:v>Online</c:v>
                </c:pt>
                <c:pt idx="1">
                  <c:v>On-Site</c:v>
                </c:pt>
              </c:strCache>
            </c:strRef>
          </c:cat>
          <c:val>
            <c:numRef>
              <c:f>'Hackathon Mock Data'!$G$106:$G$107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1-4577-BE51-84987F71C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'Hackathon Mock Data'!$B$105:$B$109</c:f>
              <c:strCache>
                <c:ptCount val="5"/>
                <c:pt idx="0">
                  <c:v>Web Development</c:v>
                </c:pt>
                <c:pt idx="1">
                  <c:v>AI &amp; ML</c:v>
                </c:pt>
                <c:pt idx="2">
                  <c:v>Robotics</c:v>
                </c:pt>
                <c:pt idx="3">
                  <c:v>Open Innovation</c:v>
                </c:pt>
                <c:pt idx="4">
                  <c:v>Cybersecurity</c:v>
                </c:pt>
              </c:strCache>
            </c:strRef>
          </c:cat>
          <c:val>
            <c:numRef>
              <c:f>'Hackathon Mock Data'!$C$105:$C$109</c:f>
              <c:numCache>
                <c:formatCode>General</c:formatCode>
                <c:ptCount val="5"/>
                <c:pt idx="0">
                  <c:v>17</c:v>
                </c:pt>
                <c:pt idx="1">
                  <c:v>26</c:v>
                </c:pt>
                <c:pt idx="2">
                  <c:v>15</c:v>
                </c:pt>
                <c:pt idx="3">
                  <c:v>23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8-4595-AC1F-7F1353B5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366863"/>
        <c:axId val="1393375023"/>
      </c:barChart>
      <c:catAx>
        <c:axId val="139336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75023"/>
        <c:crosses val="autoZero"/>
        <c:auto val="1"/>
        <c:lblAlgn val="ctr"/>
        <c:lblOffset val="100"/>
        <c:noMultiLvlLbl val="0"/>
      </c:catAx>
      <c:valAx>
        <c:axId val="139337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6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'Hackathon Mock Data'!$B$105:$B$109</c:f>
              <c:strCache>
                <c:ptCount val="5"/>
                <c:pt idx="0">
                  <c:v>Web Development</c:v>
                </c:pt>
                <c:pt idx="1">
                  <c:v>AI &amp; ML</c:v>
                </c:pt>
                <c:pt idx="2">
                  <c:v>Robotics</c:v>
                </c:pt>
                <c:pt idx="3">
                  <c:v>Open Innovation</c:v>
                </c:pt>
                <c:pt idx="4">
                  <c:v>Cybersecurity</c:v>
                </c:pt>
              </c:strCache>
            </c:strRef>
          </c:cat>
          <c:val>
            <c:numRef>
              <c:f>'Hackathon Mock Data'!$D$105:$D$109</c:f>
              <c:numCache>
                <c:formatCode>_-[$$-409]* #,##0.00_ ;_-[$$-409]* \-#,##0.00\ ;_-[$$-409]* "-"??_ ;_-@_ </c:formatCode>
                <c:ptCount val="5"/>
                <c:pt idx="0">
                  <c:v>240</c:v>
                </c:pt>
                <c:pt idx="1">
                  <c:v>420</c:v>
                </c:pt>
                <c:pt idx="2">
                  <c:v>140</c:v>
                </c:pt>
                <c:pt idx="3">
                  <c:v>360</c:v>
                </c:pt>
                <c:pt idx="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EE6-9121-E027CC91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608687"/>
        <c:axId val="1781609167"/>
      </c:barChart>
      <c:catAx>
        <c:axId val="17816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09167"/>
        <c:crosses val="autoZero"/>
        <c:auto val="1"/>
        <c:lblAlgn val="ctr"/>
        <c:lblOffset val="100"/>
        <c:noMultiLvlLbl val="0"/>
      </c:catAx>
      <c:valAx>
        <c:axId val="178160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0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'Maintainer Data'!$O$3:$P$3</c:f>
              <c:numCache>
                <c:formatCode>General</c:formatCode>
                <c:ptCount val="2"/>
                <c:pt idx="0">
                  <c:v>48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4-42E9-91A0-9CC20491AF9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'Maintainer Data'!$O$4:$P$4</c:f>
              <c:numCache>
                <c:formatCode>General</c:formatCode>
                <c:ptCount val="2"/>
                <c:pt idx="0">
                  <c:v>24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4-42E9-91A0-9CC20491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'Maintainer Data'!$H$1</c:f>
              <c:strCache>
                <c:ptCount val="1"/>
                <c:pt idx="0">
                  <c:v>RegistrationFeeUSD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'Maintainer Data'!$B$2:$B$6</c:f>
              <c:strCache>
                <c:ptCount val="5"/>
                <c:pt idx="0">
                  <c:v>Web Development</c:v>
                </c:pt>
                <c:pt idx="1">
                  <c:v>AI &amp; ML</c:v>
                </c:pt>
                <c:pt idx="2">
                  <c:v>Robotics</c:v>
                </c:pt>
                <c:pt idx="3">
                  <c:v>Open Innovation</c:v>
                </c:pt>
                <c:pt idx="4">
                  <c:v>Cybersecurity</c:v>
                </c:pt>
              </c:strCache>
            </c:strRef>
          </c:cat>
          <c:val>
            <c:numRef>
              <c:f>'Maintainer Data'!$H$2:$H$6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5-4B92-AD0D-B02D65A32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0031"/>
        <c:axId val="9930111"/>
      </c:barChart>
      <c:catAx>
        <c:axId val="992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111"/>
        <c:crosses val="autoZero"/>
        <c:auto val="1"/>
        <c:lblAlgn val="ctr"/>
        <c:lblOffset val="100"/>
        <c:noMultiLvlLbl val="0"/>
      </c:catAx>
      <c:valAx>
        <c:axId val="99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'Maintainer Data'!$I$1</c:f>
              <c:strCache>
                <c:ptCount val="1"/>
                <c:pt idx="0">
                  <c:v>TotalBudgetUSD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'Maintainer Data'!$B$2:$B$6</c:f>
              <c:strCache>
                <c:ptCount val="5"/>
                <c:pt idx="0">
                  <c:v>Web Development</c:v>
                </c:pt>
                <c:pt idx="1">
                  <c:v>AI &amp; ML</c:v>
                </c:pt>
                <c:pt idx="2">
                  <c:v>Robotics</c:v>
                </c:pt>
                <c:pt idx="3">
                  <c:v>Open Innovation</c:v>
                </c:pt>
                <c:pt idx="4">
                  <c:v>Cybersecurity</c:v>
                </c:pt>
              </c:strCache>
            </c:strRef>
          </c:cat>
          <c:val>
            <c:numRef>
              <c:f>'Maintainer Data'!$I$2:$I$6</c:f>
              <c:numCache>
                <c:formatCode>General</c:formatCode>
                <c:ptCount val="5"/>
                <c:pt idx="0">
                  <c:v>9000</c:v>
                </c:pt>
                <c:pt idx="1">
                  <c:v>15000</c:v>
                </c:pt>
                <c:pt idx="2">
                  <c:v>12000</c:v>
                </c:pt>
                <c:pt idx="3">
                  <c:v>18000</c:v>
                </c:pt>
                <c:pt idx="4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D-4209-B767-3B115B02E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7311"/>
        <c:axId val="9937791"/>
      </c:barChart>
      <c:catAx>
        <c:axId val="99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791"/>
        <c:crosses val="autoZero"/>
        <c:auto val="1"/>
        <c:lblAlgn val="ctr"/>
        <c:lblOffset val="100"/>
        <c:noMultiLvlLbl val="0"/>
      </c:catAx>
      <c:valAx>
        <c:axId val="99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91596675415572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'Maintainer Data'!$J$1</c:f>
              <c:strCache>
                <c:ptCount val="1"/>
                <c:pt idx="0">
                  <c:v>ExpectedParticipants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'Maintainer Data'!$B$2:$B$6</c:f>
              <c:strCache>
                <c:ptCount val="5"/>
                <c:pt idx="0">
                  <c:v>Web Development</c:v>
                </c:pt>
                <c:pt idx="1">
                  <c:v>AI &amp; ML</c:v>
                </c:pt>
                <c:pt idx="2">
                  <c:v>Robotics</c:v>
                </c:pt>
                <c:pt idx="3">
                  <c:v>Open Innovation</c:v>
                </c:pt>
                <c:pt idx="4">
                  <c:v>Cybersecurity</c:v>
                </c:pt>
              </c:strCache>
            </c:strRef>
          </c:cat>
          <c:val>
            <c:numRef>
              <c:f>'Maintainer Data'!$J$2:$J$6</c:f>
              <c:numCache>
                <c:formatCode>General</c:formatCode>
                <c:ptCount val="5"/>
                <c:pt idx="0">
                  <c:v>180</c:v>
                </c:pt>
                <c:pt idx="1">
                  <c:v>140</c:v>
                </c:pt>
                <c:pt idx="2">
                  <c:v>160</c:v>
                </c:pt>
                <c:pt idx="3">
                  <c:v>120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A-4CA9-B705-2C0AC685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0671"/>
        <c:axId val="9941631"/>
      </c:barChart>
      <c:catAx>
        <c:axId val="99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631"/>
        <c:crosses val="autoZero"/>
        <c:auto val="1"/>
        <c:lblAlgn val="ctr"/>
        <c:lblOffset val="100"/>
        <c:noMultiLvlLbl val="0"/>
      </c:catAx>
      <c:valAx>
        <c:axId val="99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1295400</xdr:colOff>
      <xdr:row>108</xdr:row>
      <xdr:rowOff>19050</xdr:rowOff>
    </xdr:from>
    <xdr:to>
      <xdr:col>8</xdr:col>
      <xdr:colOff>723900</xdr:colOff>
      <xdr:row>123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87FE2-87BE-7517-41DC-56A5DE225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110</xdr:row>
      <xdr:rowOff>34290</xdr:rowOff>
    </xdr:from>
    <xdr:to>
      <xdr:col>3</xdr:col>
      <xdr:colOff>906780</xdr:colOff>
      <xdr:row>125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DC43E-272D-92ED-7F82-F8BB9F943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182880</xdr:colOff>
      <xdr:row>125</xdr:row>
      <xdr:rowOff>26670</xdr:rowOff>
    </xdr:from>
    <xdr:to>
      <xdr:col>3</xdr:col>
      <xdr:colOff>899160</xdr:colOff>
      <xdr:row>140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9257F5-FDB0-0414-7429-3E8E932C9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1084728</xdr:colOff>
      <xdr:row>28</xdr:row>
      <xdr:rowOff>44824</xdr:rowOff>
    </xdr:from>
    <xdr:to>
      <xdr:col>9</xdr:col>
      <xdr:colOff>909916</xdr:colOff>
      <xdr:row>42</xdr:row>
      <xdr:rowOff>53788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8F29C-A2AF-4F2C-C687-8FD6C50C3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856130</xdr:colOff>
      <xdr:row>10</xdr:row>
      <xdr:rowOff>170330</xdr:rowOff>
    </xdr:from>
    <xdr:to>
      <xdr:col>6</xdr:col>
      <xdr:colOff>416860</xdr:colOff>
      <xdr:row>26</xdr:row>
      <xdr:rowOff>44824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DB69F-7958-0239-D6CA-55812E980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1107141</xdr:colOff>
      <xdr:row>10</xdr:row>
      <xdr:rowOff>134471</xdr:rowOff>
    </xdr:from>
    <xdr:to>
      <xdr:col>10</xdr:col>
      <xdr:colOff>156882</xdr:colOff>
      <xdr:row>26</xdr:row>
      <xdr:rowOff>8965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094560-CDC3-BD15-F038-43064A6AD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775447</xdr:colOff>
      <xdr:row>27</xdr:row>
      <xdr:rowOff>125506</xdr:rowOff>
    </xdr:from>
    <xdr:to>
      <xdr:col>6</xdr:col>
      <xdr:colOff>336177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11CBF1-16BC-34F7-1E8C-FE6A2CAF2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E20" sqref="E20"/>
    </sheetView>
  </sheetViews>
  <sheetFormatPr defaultRowHeight="14.4" x14ac:dyDescent="0.3"/>
  <cols>
    <col min="2" max="2" width="25.5546875" customWidth="1"/>
    <col min="3" max="3" width="21.77734375" bestFit="1" customWidth="1"/>
    <col min="4" max="4" width="21.33203125" customWidth="1"/>
    <col min="5" max="5" width="19.109375" customWidth="1"/>
    <col min="6" max="6" width="19.77734375" customWidth="1"/>
    <col min="7" max="7" width="26" customWidth="1"/>
    <col min="8" max="8" width="21.77734375" customWidth="1"/>
    <col min="9" max="9" width="1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30</v>
      </c>
      <c r="I2" t="s">
        <v>16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>
        <v>10</v>
      </c>
      <c r="I3" t="s">
        <v>23</v>
      </c>
      <c r="J3" t="s">
        <v>24</v>
      </c>
    </row>
    <row r="4" spans="1:10" x14ac:dyDescent="0.3">
      <c r="A4">
        <v>3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>
        <v>10</v>
      </c>
      <c r="I4" t="s">
        <v>23</v>
      </c>
      <c r="J4" t="s">
        <v>24</v>
      </c>
    </row>
    <row r="5" spans="1:10" x14ac:dyDescent="0.3">
      <c r="A5">
        <v>4</v>
      </c>
      <c r="B5" t="s">
        <v>30</v>
      </c>
      <c r="C5" t="s">
        <v>31</v>
      </c>
      <c r="D5" t="s">
        <v>27</v>
      </c>
      <c r="E5" t="s">
        <v>32</v>
      </c>
      <c r="F5" t="s">
        <v>33</v>
      </c>
      <c r="G5" t="s">
        <v>34</v>
      </c>
      <c r="H5">
        <v>0</v>
      </c>
      <c r="I5" t="s">
        <v>23</v>
      </c>
      <c r="J5" t="s">
        <v>35</v>
      </c>
    </row>
    <row r="6" spans="1:10" x14ac:dyDescent="0.3">
      <c r="A6">
        <v>5</v>
      </c>
      <c r="B6" t="s">
        <v>36</v>
      </c>
      <c r="C6" t="s">
        <v>37</v>
      </c>
      <c r="D6" t="s">
        <v>12</v>
      </c>
      <c r="E6" t="s">
        <v>20</v>
      </c>
      <c r="F6" t="s">
        <v>38</v>
      </c>
      <c r="G6" t="s">
        <v>39</v>
      </c>
      <c r="H6">
        <v>0</v>
      </c>
      <c r="I6" t="s">
        <v>23</v>
      </c>
      <c r="J6" t="s">
        <v>24</v>
      </c>
    </row>
    <row r="7" spans="1:10" x14ac:dyDescent="0.3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20</v>
      </c>
      <c r="I7" t="s">
        <v>16</v>
      </c>
      <c r="J7" t="s">
        <v>17</v>
      </c>
    </row>
    <row r="8" spans="1:10" x14ac:dyDescent="0.3">
      <c r="A8">
        <v>7</v>
      </c>
      <c r="B8" t="s">
        <v>46</v>
      </c>
      <c r="C8" t="s">
        <v>47</v>
      </c>
      <c r="D8" t="s">
        <v>12</v>
      </c>
      <c r="E8" t="s">
        <v>48</v>
      </c>
      <c r="F8" t="s">
        <v>49</v>
      </c>
      <c r="G8" t="s">
        <v>50</v>
      </c>
      <c r="H8">
        <v>30</v>
      </c>
      <c r="I8" t="s">
        <v>16</v>
      </c>
      <c r="J8" t="s">
        <v>35</v>
      </c>
    </row>
    <row r="9" spans="1:10" x14ac:dyDescent="0.3">
      <c r="A9">
        <v>8</v>
      </c>
      <c r="B9" t="s">
        <v>51</v>
      </c>
      <c r="C9" t="s">
        <v>52</v>
      </c>
      <c r="D9" t="s">
        <v>53</v>
      </c>
      <c r="E9" t="s">
        <v>32</v>
      </c>
      <c r="F9" t="s">
        <v>54</v>
      </c>
      <c r="G9" t="s">
        <v>55</v>
      </c>
      <c r="H9">
        <v>0</v>
      </c>
      <c r="I9" t="s">
        <v>23</v>
      </c>
      <c r="J9" t="s">
        <v>24</v>
      </c>
    </row>
    <row r="10" spans="1:10" x14ac:dyDescent="0.3">
      <c r="A10">
        <v>9</v>
      </c>
      <c r="B10" t="s">
        <v>56</v>
      </c>
      <c r="C10" t="s">
        <v>57</v>
      </c>
      <c r="D10" t="s">
        <v>58</v>
      </c>
      <c r="E10" t="s">
        <v>43</v>
      </c>
      <c r="F10" t="s">
        <v>59</v>
      </c>
      <c r="G10" t="s">
        <v>60</v>
      </c>
      <c r="H10">
        <v>30</v>
      </c>
      <c r="I10" t="s">
        <v>16</v>
      </c>
      <c r="J10" t="s">
        <v>35</v>
      </c>
    </row>
    <row r="11" spans="1:10" x14ac:dyDescent="0.3">
      <c r="A11">
        <v>10</v>
      </c>
      <c r="B11" t="s">
        <v>61</v>
      </c>
      <c r="C11" t="s">
        <v>62</v>
      </c>
      <c r="D11" t="s">
        <v>58</v>
      </c>
      <c r="E11" t="s">
        <v>43</v>
      </c>
      <c r="F11" t="s">
        <v>63</v>
      </c>
      <c r="G11" t="s">
        <v>64</v>
      </c>
      <c r="H11">
        <v>10</v>
      </c>
      <c r="I11" t="s">
        <v>16</v>
      </c>
      <c r="J11" t="s">
        <v>24</v>
      </c>
    </row>
    <row r="12" spans="1:10" x14ac:dyDescent="0.3">
      <c r="A12">
        <v>11</v>
      </c>
      <c r="B12" t="s">
        <v>65</v>
      </c>
      <c r="C12" t="s">
        <v>66</v>
      </c>
      <c r="D12" t="s">
        <v>53</v>
      </c>
      <c r="E12" t="s">
        <v>20</v>
      </c>
      <c r="F12" t="s">
        <v>67</v>
      </c>
      <c r="G12" t="s">
        <v>68</v>
      </c>
      <c r="H12">
        <v>0</v>
      </c>
      <c r="I12" t="s">
        <v>16</v>
      </c>
      <c r="J12" t="s">
        <v>17</v>
      </c>
    </row>
    <row r="13" spans="1:10" x14ac:dyDescent="0.3">
      <c r="A13">
        <v>12</v>
      </c>
      <c r="B13" t="s">
        <v>69</v>
      </c>
      <c r="C13" t="s">
        <v>70</v>
      </c>
      <c r="D13" t="s">
        <v>27</v>
      </c>
      <c r="E13" t="s">
        <v>48</v>
      </c>
      <c r="F13" t="s">
        <v>71</v>
      </c>
      <c r="G13" t="s">
        <v>72</v>
      </c>
      <c r="H13">
        <v>30</v>
      </c>
      <c r="I13" t="s">
        <v>16</v>
      </c>
      <c r="J13" t="s">
        <v>17</v>
      </c>
    </row>
    <row r="14" spans="1:10" x14ac:dyDescent="0.3">
      <c r="A14">
        <v>13</v>
      </c>
      <c r="B14" t="s">
        <v>73</v>
      </c>
      <c r="C14" t="s">
        <v>74</v>
      </c>
      <c r="D14" t="s">
        <v>53</v>
      </c>
      <c r="E14" t="s">
        <v>13</v>
      </c>
      <c r="F14" t="s">
        <v>75</v>
      </c>
      <c r="G14" t="s">
        <v>76</v>
      </c>
      <c r="H14">
        <v>10</v>
      </c>
      <c r="I14" t="s">
        <v>23</v>
      </c>
      <c r="J14" t="s">
        <v>24</v>
      </c>
    </row>
    <row r="15" spans="1:10" x14ac:dyDescent="0.3">
      <c r="A15">
        <v>14</v>
      </c>
      <c r="B15" t="s">
        <v>77</v>
      </c>
      <c r="C15" t="s">
        <v>78</v>
      </c>
      <c r="D15" t="s">
        <v>58</v>
      </c>
      <c r="E15" t="s">
        <v>13</v>
      </c>
      <c r="F15" t="s">
        <v>79</v>
      </c>
      <c r="G15" t="s">
        <v>80</v>
      </c>
      <c r="H15">
        <v>0</v>
      </c>
      <c r="I15" t="s">
        <v>23</v>
      </c>
      <c r="J15" t="s">
        <v>35</v>
      </c>
    </row>
    <row r="16" spans="1:10" x14ac:dyDescent="0.3">
      <c r="A16">
        <v>15</v>
      </c>
      <c r="B16" t="s">
        <v>40</v>
      </c>
      <c r="C16" t="s">
        <v>81</v>
      </c>
      <c r="D16" t="s">
        <v>27</v>
      </c>
      <c r="E16" t="s">
        <v>13</v>
      </c>
      <c r="F16" t="s">
        <v>82</v>
      </c>
      <c r="G16" t="s">
        <v>83</v>
      </c>
      <c r="H16">
        <v>30</v>
      </c>
      <c r="I16" t="s">
        <v>23</v>
      </c>
      <c r="J16" t="s">
        <v>24</v>
      </c>
    </row>
    <row r="17" spans="1:10" x14ac:dyDescent="0.3">
      <c r="A17">
        <v>16</v>
      </c>
      <c r="B17" t="s">
        <v>84</v>
      </c>
      <c r="C17" t="s">
        <v>85</v>
      </c>
      <c r="D17" t="s">
        <v>12</v>
      </c>
      <c r="E17" t="s">
        <v>13</v>
      </c>
      <c r="F17" t="s">
        <v>86</v>
      </c>
      <c r="G17" t="s">
        <v>87</v>
      </c>
      <c r="H17">
        <v>30</v>
      </c>
      <c r="I17" t="s">
        <v>16</v>
      </c>
      <c r="J17" t="s">
        <v>24</v>
      </c>
    </row>
    <row r="18" spans="1:10" x14ac:dyDescent="0.3">
      <c r="A18">
        <v>17</v>
      </c>
      <c r="B18" t="s">
        <v>88</v>
      </c>
      <c r="C18" t="s">
        <v>89</v>
      </c>
      <c r="D18" t="s">
        <v>58</v>
      </c>
      <c r="E18" t="s">
        <v>32</v>
      </c>
      <c r="F18" t="s">
        <v>90</v>
      </c>
      <c r="G18" t="s">
        <v>91</v>
      </c>
      <c r="H18">
        <v>0</v>
      </c>
      <c r="I18" t="s">
        <v>16</v>
      </c>
      <c r="J18" t="s">
        <v>17</v>
      </c>
    </row>
    <row r="19" spans="1:10" x14ac:dyDescent="0.3">
      <c r="A19">
        <v>18</v>
      </c>
      <c r="B19" t="s">
        <v>92</v>
      </c>
      <c r="C19" t="s">
        <v>93</v>
      </c>
      <c r="D19" t="s">
        <v>12</v>
      </c>
      <c r="E19" t="s">
        <v>43</v>
      </c>
      <c r="F19" t="s">
        <v>94</v>
      </c>
      <c r="G19" t="s">
        <v>95</v>
      </c>
      <c r="H19">
        <v>20</v>
      </c>
      <c r="I19" t="s">
        <v>23</v>
      </c>
      <c r="J19" t="s">
        <v>24</v>
      </c>
    </row>
    <row r="20" spans="1:10" x14ac:dyDescent="0.3">
      <c r="A20">
        <v>19</v>
      </c>
      <c r="B20" t="s">
        <v>96</v>
      </c>
      <c r="C20" t="s">
        <v>97</v>
      </c>
      <c r="D20" t="s">
        <v>42</v>
      </c>
      <c r="E20" t="s">
        <v>48</v>
      </c>
      <c r="F20" t="s">
        <v>98</v>
      </c>
      <c r="G20" t="s">
        <v>99</v>
      </c>
      <c r="H20">
        <v>10</v>
      </c>
      <c r="I20" t="s">
        <v>23</v>
      </c>
      <c r="J20" t="s">
        <v>24</v>
      </c>
    </row>
    <row r="21" spans="1:10" x14ac:dyDescent="0.3">
      <c r="A21">
        <v>20</v>
      </c>
      <c r="B21" t="s">
        <v>100</v>
      </c>
      <c r="C21" t="s">
        <v>101</v>
      </c>
      <c r="D21" t="s">
        <v>58</v>
      </c>
      <c r="E21" t="s">
        <v>32</v>
      </c>
      <c r="F21" t="s">
        <v>102</v>
      </c>
      <c r="G21" t="s">
        <v>103</v>
      </c>
      <c r="H21">
        <v>20</v>
      </c>
      <c r="I21" t="s">
        <v>16</v>
      </c>
      <c r="J21" t="s">
        <v>24</v>
      </c>
    </row>
    <row r="22" spans="1:10" x14ac:dyDescent="0.3">
      <c r="A22">
        <v>21</v>
      </c>
      <c r="B22" t="s">
        <v>104</v>
      </c>
      <c r="C22" t="s">
        <v>105</v>
      </c>
      <c r="D22" t="s">
        <v>12</v>
      </c>
      <c r="E22" t="s">
        <v>20</v>
      </c>
      <c r="F22" t="s">
        <v>106</v>
      </c>
      <c r="G22" t="s">
        <v>107</v>
      </c>
      <c r="H22">
        <v>10</v>
      </c>
      <c r="I22" t="s">
        <v>23</v>
      </c>
      <c r="J22" t="s">
        <v>24</v>
      </c>
    </row>
    <row r="23" spans="1:10" x14ac:dyDescent="0.3">
      <c r="A23">
        <v>22</v>
      </c>
      <c r="B23" t="s">
        <v>100</v>
      </c>
      <c r="C23" t="s">
        <v>108</v>
      </c>
      <c r="D23" t="s">
        <v>58</v>
      </c>
      <c r="E23" t="s">
        <v>20</v>
      </c>
      <c r="F23" t="s">
        <v>109</v>
      </c>
      <c r="G23" t="s">
        <v>110</v>
      </c>
      <c r="H23">
        <v>30</v>
      </c>
      <c r="I23" t="s">
        <v>16</v>
      </c>
      <c r="J23" t="s">
        <v>24</v>
      </c>
    </row>
    <row r="24" spans="1:10" x14ac:dyDescent="0.3">
      <c r="A24">
        <v>23</v>
      </c>
      <c r="B24" t="s">
        <v>111</v>
      </c>
      <c r="C24" t="s">
        <v>112</v>
      </c>
      <c r="D24" t="s">
        <v>12</v>
      </c>
      <c r="E24" t="s">
        <v>20</v>
      </c>
      <c r="F24" t="s">
        <v>113</v>
      </c>
      <c r="G24" t="s">
        <v>114</v>
      </c>
      <c r="H24">
        <v>20</v>
      </c>
      <c r="I24" t="s">
        <v>16</v>
      </c>
      <c r="J24" t="s">
        <v>24</v>
      </c>
    </row>
    <row r="25" spans="1:10" x14ac:dyDescent="0.3">
      <c r="A25">
        <v>24</v>
      </c>
      <c r="B25" t="s">
        <v>115</v>
      </c>
      <c r="C25" t="s">
        <v>116</v>
      </c>
      <c r="D25" t="s">
        <v>12</v>
      </c>
      <c r="E25" t="s">
        <v>20</v>
      </c>
      <c r="F25" t="s">
        <v>117</v>
      </c>
      <c r="G25" t="s">
        <v>118</v>
      </c>
      <c r="H25">
        <v>10</v>
      </c>
      <c r="I25" t="s">
        <v>23</v>
      </c>
      <c r="J25" t="s">
        <v>17</v>
      </c>
    </row>
    <row r="26" spans="1:10" x14ac:dyDescent="0.3">
      <c r="A26">
        <v>25</v>
      </c>
      <c r="B26" t="s">
        <v>46</v>
      </c>
      <c r="C26" t="s">
        <v>119</v>
      </c>
      <c r="D26" t="s">
        <v>58</v>
      </c>
      <c r="E26" t="s">
        <v>20</v>
      </c>
      <c r="F26" t="s">
        <v>120</v>
      </c>
      <c r="G26" t="s">
        <v>121</v>
      </c>
      <c r="H26">
        <v>0</v>
      </c>
      <c r="I26" t="s">
        <v>23</v>
      </c>
      <c r="J26" t="s">
        <v>17</v>
      </c>
    </row>
    <row r="27" spans="1:10" x14ac:dyDescent="0.3">
      <c r="A27">
        <v>26</v>
      </c>
      <c r="B27" t="s">
        <v>122</v>
      </c>
      <c r="C27" t="s">
        <v>123</v>
      </c>
      <c r="D27" t="s">
        <v>42</v>
      </c>
      <c r="E27" t="s">
        <v>13</v>
      </c>
      <c r="F27" t="s">
        <v>124</v>
      </c>
      <c r="G27" t="s">
        <v>125</v>
      </c>
      <c r="H27">
        <v>10</v>
      </c>
      <c r="I27" t="s">
        <v>23</v>
      </c>
      <c r="J27" t="s">
        <v>35</v>
      </c>
    </row>
    <row r="28" spans="1:10" x14ac:dyDescent="0.3">
      <c r="A28">
        <v>27</v>
      </c>
      <c r="B28" t="s">
        <v>126</v>
      </c>
      <c r="C28" t="s">
        <v>127</v>
      </c>
      <c r="D28" t="s">
        <v>42</v>
      </c>
      <c r="E28" t="s">
        <v>43</v>
      </c>
      <c r="F28" t="s">
        <v>128</v>
      </c>
      <c r="G28" t="s">
        <v>129</v>
      </c>
      <c r="H28">
        <v>0</v>
      </c>
      <c r="I28" t="s">
        <v>23</v>
      </c>
      <c r="J28" t="s">
        <v>24</v>
      </c>
    </row>
    <row r="29" spans="1:10" x14ac:dyDescent="0.3">
      <c r="A29">
        <v>28</v>
      </c>
      <c r="B29" t="s">
        <v>30</v>
      </c>
      <c r="C29" t="s">
        <v>130</v>
      </c>
      <c r="D29" t="s">
        <v>53</v>
      </c>
      <c r="E29" t="s">
        <v>20</v>
      </c>
      <c r="F29" t="s">
        <v>131</v>
      </c>
      <c r="G29" t="s">
        <v>132</v>
      </c>
      <c r="H29">
        <v>20</v>
      </c>
      <c r="I29" t="s">
        <v>23</v>
      </c>
      <c r="J29" t="s">
        <v>17</v>
      </c>
    </row>
    <row r="30" spans="1:10" x14ac:dyDescent="0.3">
      <c r="A30">
        <v>29</v>
      </c>
      <c r="B30" t="s">
        <v>56</v>
      </c>
      <c r="C30" t="s">
        <v>133</v>
      </c>
      <c r="D30" t="s">
        <v>53</v>
      </c>
      <c r="E30" t="s">
        <v>20</v>
      </c>
      <c r="F30" t="s">
        <v>134</v>
      </c>
      <c r="G30" t="s">
        <v>135</v>
      </c>
      <c r="H30">
        <v>20</v>
      </c>
      <c r="I30" t="s">
        <v>23</v>
      </c>
      <c r="J30" t="s">
        <v>35</v>
      </c>
    </row>
    <row r="31" spans="1:10" x14ac:dyDescent="0.3">
      <c r="A31">
        <v>30</v>
      </c>
      <c r="B31" t="s">
        <v>136</v>
      </c>
      <c r="C31" t="s">
        <v>137</v>
      </c>
      <c r="D31" t="s">
        <v>42</v>
      </c>
      <c r="E31" t="s">
        <v>43</v>
      </c>
      <c r="F31" t="s">
        <v>138</v>
      </c>
      <c r="G31" t="s">
        <v>139</v>
      </c>
      <c r="H31">
        <v>10</v>
      </c>
      <c r="I31" t="s">
        <v>23</v>
      </c>
      <c r="J31" t="s">
        <v>35</v>
      </c>
    </row>
    <row r="32" spans="1:10" x14ac:dyDescent="0.3">
      <c r="A32">
        <v>31</v>
      </c>
      <c r="B32" t="s">
        <v>140</v>
      </c>
      <c r="C32" t="s">
        <v>141</v>
      </c>
      <c r="D32" t="s">
        <v>58</v>
      </c>
      <c r="E32" t="s">
        <v>13</v>
      </c>
      <c r="F32" t="s">
        <v>142</v>
      </c>
      <c r="G32" t="s">
        <v>143</v>
      </c>
      <c r="H32">
        <v>0</v>
      </c>
      <c r="I32" t="s">
        <v>16</v>
      </c>
      <c r="J32" t="s">
        <v>17</v>
      </c>
    </row>
    <row r="33" spans="1:10" x14ac:dyDescent="0.3">
      <c r="A33">
        <v>32</v>
      </c>
      <c r="B33" t="s">
        <v>144</v>
      </c>
      <c r="C33" t="s">
        <v>145</v>
      </c>
      <c r="D33" t="s">
        <v>27</v>
      </c>
      <c r="E33" t="s">
        <v>20</v>
      </c>
      <c r="F33" t="s">
        <v>146</v>
      </c>
      <c r="G33" t="s">
        <v>147</v>
      </c>
      <c r="H33">
        <v>20</v>
      </c>
      <c r="I33" t="s">
        <v>16</v>
      </c>
      <c r="J33" t="s">
        <v>35</v>
      </c>
    </row>
    <row r="34" spans="1:10" x14ac:dyDescent="0.3">
      <c r="A34">
        <v>33</v>
      </c>
      <c r="B34" t="s">
        <v>148</v>
      </c>
      <c r="C34" t="s">
        <v>149</v>
      </c>
      <c r="D34" t="s">
        <v>58</v>
      </c>
      <c r="E34" t="s">
        <v>13</v>
      </c>
      <c r="F34" t="s">
        <v>150</v>
      </c>
      <c r="G34" t="s">
        <v>151</v>
      </c>
      <c r="H34">
        <v>10</v>
      </c>
      <c r="I34" t="s">
        <v>16</v>
      </c>
      <c r="J34" t="s">
        <v>35</v>
      </c>
    </row>
    <row r="35" spans="1:10" x14ac:dyDescent="0.3">
      <c r="A35">
        <v>34</v>
      </c>
      <c r="B35" t="s">
        <v>152</v>
      </c>
      <c r="C35" t="s">
        <v>153</v>
      </c>
      <c r="D35" t="s">
        <v>58</v>
      </c>
      <c r="E35" t="s">
        <v>43</v>
      </c>
      <c r="F35" t="s">
        <v>154</v>
      </c>
      <c r="G35" t="s">
        <v>155</v>
      </c>
      <c r="H35">
        <v>20</v>
      </c>
      <c r="I35" t="s">
        <v>23</v>
      </c>
      <c r="J35" t="s">
        <v>17</v>
      </c>
    </row>
    <row r="36" spans="1:10" x14ac:dyDescent="0.3">
      <c r="A36">
        <v>35</v>
      </c>
      <c r="B36" t="s">
        <v>156</v>
      </c>
      <c r="C36" t="s">
        <v>157</v>
      </c>
      <c r="D36" t="s">
        <v>42</v>
      </c>
      <c r="E36" t="s">
        <v>43</v>
      </c>
      <c r="F36" t="s">
        <v>158</v>
      </c>
      <c r="G36" t="s">
        <v>159</v>
      </c>
      <c r="H36">
        <v>0</v>
      </c>
      <c r="I36" t="s">
        <v>16</v>
      </c>
      <c r="J36" t="s">
        <v>24</v>
      </c>
    </row>
    <row r="37" spans="1:10" x14ac:dyDescent="0.3">
      <c r="A37">
        <v>36</v>
      </c>
      <c r="B37" t="s">
        <v>104</v>
      </c>
      <c r="C37" t="s">
        <v>160</v>
      </c>
      <c r="D37" t="s">
        <v>12</v>
      </c>
      <c r="E37" t="s">
        <v>43</v>
      </c>
      <c r="F37" t="s">
        <v>161</v>
      </c>
      <c r="G37" t="s">
        <v>162</v>
      </c>
      <c r="H37">
        <v>0</v>
      </c>
      <c r="I37" t="s">
        <v>16</v>
      </c>
      <c r="J37" t="s">
        <v>17</v>
      </c>
    </row>
    <row r="38" spans="1:10" x14ac:dyDescent="0.3">
      <c r="A38">
        <v>37</v>
      </c>
      <c r="B38" t="s">
        <v>10</v>
      </c>
      <c r="C38" t="s">
        <v>163</v>
      </c>
      <c r="D38" t="s">
        <v>53</v>
      </c>
      <c r="E38" t="s">
        <v>20</v>
      </c>
      <c r="F38" t="s">
        <v>164</v>
      </c>
      <c r="G38" t="s">
        <v>165</v>
      </c>
      <c r="H38">
        <v>10</v>
      </c>
      <c r="I38" t="s">
        <v>23</v>
      </c>
      <c r="J38" t="s">
        <v>24</v>
      </c>
    </row>
    <row r="39" spans="1:10" x14ac:dyDescent="0.3">
      <c r="A39">
        <v>38</v>
      </c>
      <c r="B39" t="s">
        <v>166</v>
      </c>
      <c r="C39" t="s">
        <v>167</v>
      </c>
      <c r="D39" t="s">
        <v>12</v>
      </c>
      <c r="E39" t="s">
        <v>20</v>
      </c>
      <c r="F39" t="s">
        <v>168</v>
      </c>
      <c r="G39" t="s">
        <v>169</v>
      </c>
      <c r="H39">
        <v>20</v>
      </c>
      <c r="I39" t="s">
        <v>16</v>
      </c>
      <c r="J39" t="s">
        <v>17</v>
      </c>
    </row>
    <row r="40" spans="1:10" x14ac:dyDescent="0.3">
      <c r="A40">
        <v>39</v>
      </c>
      <c r="B40" t="s">
        <v>170</v>
      </c>
      <c r="C40" t="s">
        <v>171</v>
      </c>
      <c r="D40" t="s">
        <v>12</v>
      </c>
      <c r="E40" t="s">
        <v>32</v>
      </c>
      <c r="F40" t="s">
        <v>172</v>
      </c>
      <c r="G40" t="s">
        <v>173</v>
      </c>
      <c r="H40">
        <v>10</v>
      </c>
      <c r="I40" t="s">
        <v>23</v>
      </c>
      <c r="J40" t="s">
        <v>24</v>
      </c>
    </row>
    <row r="41" spans="1:10" x14ac:dyDescent="0.3">
      <c r="A41">
        <v>40</v>
      </c>
      <c r="B41" t="s">
        <v>88</v>
      </c>
      <c r="C41" t="s">
        <v>174</v>
      </c>
      <c r="D41" t="s">
        <v>42</v>
      </c>
      <c r="E41" t="s">
        <v>43</v>
      </c>
      <c r="F41" t="s">
        <v>175</v>
      </c>
      <c r="G41" t="s">
        <v>176</v>
      </c>
      <c r="H41">
        <v>20</v>
      </c>
      <c r="I41" t="s">
        <v>16</v>
      </c>
      <c r="J41" t="s">
        <v>24</v>
      </c>
    </row>
    <row r="42" spans="1:10" x14ac:dyDescent="0.3">
      <c r="A42">
        <v>41</v>
      </c>
      <c r="B42" t="s">
        <v>177</v>
      </c>
      <c r="C42" t="s">
        <v>178</v>
      </c>
      <c r="D42" t="s">
        <v>42</v>
      </c>
      <c r="E42" t="s">
        <v>20</v>
      </c>
      <c r="F42" t="s">
        <v>179</v>
      </c>
      <c r="G42" t="s">
        <v>180</v>
      </c>
      <c r="H42">
        <v>20</v>
      </c>
      <c r="I42" t="s">
        <v>23</v>
      </c>
      <c r="J42" t="s">
        <v>24</v>
      </c>
    </row>
    <row r="43" spans="1:10" x14ac:dyDescent="0.3">
      <c r="A43">
        <v>42</v>
      </c>
      <c r="B43" t="s">
        <v>181</v>
      </c>
      <c r="C43" t="s">
        <v>182</v>
      </c>
      <c r="D43" t="s">
        <v>53</v>
      </c>
      <c r="E43" t="s">
        <v>48</v>
      </c>
      <c r="F43" t="s">
        <v>183</v>
      </c>
      <c r="G43" t="s">
        <v>184</v>
      </c>
      <c r="H43">
        <v>30</v>
      </c>
      <c r="I43" t="s">
        <v>23</v>
      </c>
      <c r="J43" t="s">
        <v>17</v>
      </c>
    </row>
    <row r="44" spans="1:10" x14ac:dyDescent="0.3">
      <c r="A44">
        <v>43</v>
      </c>
      <c r="B44" t="s">
        <v>185</v>
      </c>
      <c r="C44" t="s">
        <v>186</v>
      </c>
      <c r="D44" t="s">
        <v>12</v>
      </c>
      <c r="E44" t="s">
        <v>20</v>
      </c>
      <c r="F44" t="s">
        <v>187</v>
      </c>
      <c r="G44" t="s">
        <v>188</v>
      </c>
      <c r="H44">
        <v>0</v>
      </c>
      <c r="I44" t="s">
        <v>16</v>
      </c>
      <c r="J44" t="s">
        <v>17</v>
      </c>
    </row>
    <row r="45" spans="1:10" x14ac:dyDescent="0.3">
      <c r="A45">
        <v>44</v>
      </c>
      <c r="B45" t="s">
        <v>111</v>
      </c>
      <c r="C45" t="s">
        <v>189</v>
      </c>
      <c r="D45" t="s">
        <v>53</v>
      </c>
      <c r="E45" t="s">
        <v>43</v>
      </c>
      <c r="F45" t="s">
        <v>190</v>
      </c>
      <c r="G45" t="s">
        <v>191</v>
      </c>
      <c r="H45">
        <v>0</v>
      </c>
      <c r="I45" t="s">
        <v>16</v>
      </c>
      <c r="J45" t="s">
        <v>35</v>
      </c>
    </row>
    <row r="46" spans="1:10" x14ac:dyDescent="0.3">
      <c r="A46">
        <v>45</v>
      </c>
      <c r="B46" t="s">
        <v>192</v>
      </c>
      <c r="C46" t="s">
        <v>193</v>
      </c>
      <c r="D46" t="s">
        <v>42</v>
      </c>
      <c r="E46" t="s">
        <v>32</v>
      </c>
      <c r="F46" t="s">
        <v>194</v>
      </c>
      <c r="G46" t="s">
        <v>195</v>
      </c>
      <c r="H46">
        <v>0</v>
      </c>
      <c r="I46" t="s">
        <v>16</v>
      </c>
      <c r="J46" t="s">
        <v>17</v>
      </c>
    </row>
    <row r="47" spans="1:10" x14ac:dyDescent="0.3">
      <c r="A47">
        <v>46</v>
      </c>
      <c r="B47" t="s">
        <v>18</v>
      </c>
      <c r="C47" t="s">
        <v>196</v>
      </c>
      <c r="D47" t="s">
        <v>12</v>
      </c>
      <c r="E47" t="s">
        <v>32</v>
      </c>
      <c r="F47" t="s">
        <v>197</v>
      </c>
      <c r="G47" t="s">
        <v>198</v>
      </c>
      <c r="H47">
        <v>10</v>
      </c>
      <c r="I47" t="s">
        <v>23</v>
      </c>
      <c r="J47" t="s">
        <v>35</v>
      </c>
    </row>
    <row r="48" spans="1:10" x14ac:dyDescent="0.3">
      <c r="A48">
        <v>47</v>
      </c>
      <c r="B48" t="s">
        <v>104</v>
      </c>
      <c r="C48" t="s">
        <v>199</v>
      </c>
      <c r="D48" t="s">
        <v>58</v>
      </c>
      <c r="E48" t="s">
        <v>43</v>
      </c>
      <c r="F48" t="s">
        <v>200</v>
      </c>
      <c r="G48" t="s">
        <v>201</v>
      </c>
      <c r="H48">
        <v>20</v>
      </c>
      <c r="I48" t="s">
        <v>23</v>
      </c>
      <c r="J48" t="s">
        <v>17</v>
      </c>
    </row>
    <row r="49" spans="1:10" x14ac:dyDescent="0.3">
      <c r="A49">
        <v>48</v>
      </c>
      <c r="B49" t="s">
        <v>88</v>
      </c>
      <c r="C49" t="s">
        <v>202</v>
      </c>
      <c r="D49" t="s">
        <v>58</v>
      </c>
      <c r="E49" t="s">
        <v>48</v>
      </c>
      <c r="F49" t="s">
        <v>203</v>
      </c>
      <c r="G49" t="s">
        <v>204</v>
      </c>
      <c r="H49">
        <v>0</v>
      </c>
      <c r="I49" t="s">
        <v>16</v>
      </c>
      <c r="J49" t="s">
        <v>24</v>
      </c>
    </row>
    <row r="50" spans="1:10" x14ac:dyDescent="0.3">
      <c r="A50">
        <v>49</v>
      </c>
      <c r="B50" t="s">
        <v>205</v>
      </c>
      <c r="C50" t="s">
        <v>206</v>
      </c>
      <c r="D50" t="s">
        <v>42</v>
      </c>
      <c r="E50" t="s">
        <v>13</v>
      </c>
      <c r="F50" t="s">
        <v>207</v>
      </c>
      <c r="G50" t="s">
        <v>208</v>
      </c>
      <c r="H50">
        <v>0</v>
      </c>
      <c r="I50" t="s">
        <v>23</v>
      </c>
      <c r="J50" t="s">
        <v>24</v>
      </c>
    </row>
    <row r="51" spans="1:10" x14ac:dyDescent="0.3">
      <c r="A51">
        <v>50</v>
      </c>
      <c r="B51" t="s">
        <v>177</v>
      </c>
      <c r="C51" t="s">
        <v>209</v>
      </c>
      <c r="D51" t="s">
        <v>58</v>
      </c>
      <c r="E51" t="s">
        <v>20</v>
      </c>
      <c r="F51" t="s">
        <v>210</v>
      </c>
      <c r="G51" t="s">
        <v>211</v>
      </c>
      <c r="H51">
        <v>20</v>
      </c>
      <c r="I51" t="s">
        <v>16</v>
      </c>
      <c r="J51" t="s">
        <v>17</v>
      </c>
    </row>
    <row r="52" spans="1:10" x14ac:dyDescent="0.3">
      <c r="A52">
        <v>51</v>
      </c>
      <c r="B52" t="s">
        <v>212</v>
      </c>
      <c r="C52" t="s">
        <v>213</v>
      </c>
      <c r="D52" t="s">
        <v>58</v>
      </c>
      <c r="E52" t="s">
        <v>20</v>
      </c>
      <c r="F52" t="s">
        <v>214</v>
      </c>
      <c r="G52" t="s">
        <v>215</v>
      </c>
      <c r="H52">
        <v>30</v>
      </c>
      <c r="I52" t="s">
        <v>16</v>
      </c>
      <c r="J52" t="s">
        <v>35</v>
      </c>
    </row>
    <row r="53" spans="1:10" x14ac:dyDescent="0.3">
      <c r="A53">
        <v>52</v>
      </c>
      <c r="B53" t="s">
        <v>216</v>
      </c>
      <c r="C53" t="s">
        <v>217</v>
      </c>
      <c r="D53" t="s">
        <v>27</v>
      </c>
      <c r="E53" t="s">
        <v>32</v>
      </c>
      <c r="F53" t="s">
        <v>218</v>
      </c>
      <c r="G53" t="s">
        <v>219</v>
      </c>
      <c r="H53">
        <v>10</v>
      </c>
      <c r="I53" t="s">
        <v>23</v>
      </c>
      <c r="J53" t="s">
        <v>35</v>
      </c>
    </row>
    <row r="54" spans="1:10" x14ac:dyDescent="0.3">
      <c r="A54">
        <v>53</v>
      </c>
      <c r="B54" t="s">
        <v>69</v>
      </c>
      <c r="C54" t="s">
        <v>220</v>
      </c>
      <c r="D54" t="s">
        <v>42</v>
      </c>
      <c r="E54" t="s">
        <v>43</v>
      </c>
      <c r="F54" t="s">
        <v>221</v>
      </c>
      <c r="G54" t="s">
        <v>222</v>
      </c>
      <c r="H54">
        <v>30</v>
      </c>
      <c r="I54" t="s">
        <v>16</v>
      </c>
      <c r="J54" t="s">
        <v>35</v>
      </c>
    </row>
    <row r="55" spans="1:10" x14ac:dyDescent="0.3">
      <c r="A55">
        <v>54</v>
      </c>
      <c r="B55" t="s">
        <v>170</v>
      </c>
      <c r="C55" t="s">
        <v>223</v>
      </c>
      <c r="D55" t="s">
        <v>42</v>
      </c>
      <c r="E55" t="s">
        <v>20</v>
      </c>
      <c r="F55" t="s">
        <v>224</v>
      </c>
      <c r="G55" t="s">
        <v>225</v>
      </c>
      <c r="H55">
        <v>30</v>
      </c>
      <c r="I55" t="s">
        <v>23</v>
      </c>
      <c r="J55" t="s">
        <v>24</v>
      </c>
    </row>
    <row r="56" spans="1:10" x14ac:dyDescent="0.3">
      <c r="A56">
        <v>55</v>
      </c>
      <c r="B56" t="s">
        <v>226</v>
      </c>
      <c r="C56" t="s">
        <v>227</v>
      </c>
      <c r="D56" t="s">
        <v>53</v>
      </c>
      <c r="E56" t="s">
        <v>20</v>
      </c>
      <c r="F56" t="s">
        <v>228</v>
      </c>
      <c r="G56" t="s">
        <v>229</v>
      </c>
      <c r="H56">
        <v>10</v>
      </c>
      <c r="I56" t="s">
        <v>16</v>
      </c>
      <c r="J56" t="s">
        <v>35</v>
      </c>
    </row>
    <row r="57" spans="1:10" x14ac:dyDescent="0.3">
      <c r="A57">
        <v>56</v>
      </c>
      <c r="B57" t="s">
        <v>100</v>
      </c>
      <c r="C57" t="s">
        <v>230</v>
      </c>
      <c r="D57" t="s">
        <v>42</v>
      </c>
      <c r="E57" t="s">
        <v>48</v>
      </c>
      <c r="F57" t="s">
        <v>231</v>
      </c>
      <c r="G57" t="s">
        <v>232</v>
      </c>
      <c r="H57">
        <v>30</v>
      </c>
      <c r="I57" t="s">
        <v>23</v>
      </c>
      <c r="J57" t="s">
        <v>17</v>
      </c>
    </row>
    <row r="58" spans="1:10" x14ac:dyDescent="0.3">
      <c r="A58">
        <v>57</v>
      </c>
      <c r="B58" t="s">
        <v>181</v>
      </c>
      <c r="C58" t="s">
        <v>233</v>
      </c>
      <c r="D58" t="s">
        <v>27</v>
      </c>
      <c r="E58" t="s">
        <v>20</v>
      </c>
      <c r="F58" t="s">
        <v>234</v>
      </c>
      <c r="G58" t="s">
        <v>235</v>
      </c>
      <c r="H58">
        <v>30</v>
      </c>
      <c r="I58" t="s">
        <v>16</v>
      </c>
      <c r="J58" t="s">
        <v>24</v>
      </c>
    </row>
    <row r="59" spans="1:10" x14ac:dyDescent="0.3">
      <c r="A59">
        <v>58</v>
      </c>
      <c r="B59" t="s">
        <v>236</v>
      </c>
      <c r="C59" t="s">
        <v>237</v>
      </c>
      <c r="D59" t="s">
        <v>27</v>
      </c>
      <c r="E59" t="s">
        <v>48</v>
      </c>
      <c r="F59" t="s">
        <v>238</v>
      </c>
      <c r="G59" t="s">
        <v>239</v>
      </c>
      <c r="H59">
        <v>10</v>
      </c>
      <c r="I59" t="s">
        <v>23</v>
      </c>
      <c r="J59" t="s">
        <v>17</v>
      </c>
    </row>
    <row r="60" spans="1:10" x14ac:dyDescent="0.3">
      <c r="A60">
        <v>59</v>
      </c>
      <c r="B60" t="s">
        <v>240</v>
      </c>
      <c r="C60" t="s">
        <v>241</v>
      </c>
      <c r="D60" t="s">
        <v>42</v>
      </c>
      <c r="E60" t="s">
        <v>13</v>
      </c>
      <c r="F60" t="s">
        <v>242</v>
      </c>
      <c r="G60" t="s">
        <v>243</v>
      </c>
      <c r="H60">
        <v>20</v>
      </c>
      <c r="I60" t="s">
        <v>16</v>
      </c>
      <c r="J60" t="s">
        <v>17</v>
      </c>
    </row>
    <row r="61" spans="1:10" x14ac:dyDescent="0.3">
      <c r="A61">
        <v>60</v>
      </c>
      <c r="B61" t="s">
        <v>170</v>
      </c>
      <c r="C61" t="s">
        <v>244</v>
      </c>
      <c r="D61" t="s">
        <v>42</v>
      </c>
      <c r="E61" t="s">
        <v>48</v>
      </c>
      <c r="F61" t="s">
        <v>245</v>
      </c>
      <c r="G61" t="s">
        <v>246</v>
      </c>
      <c r="H61">
        <v>20</v>
      </c>
      <c r="I61" t="s">
        <v>23</v>
      </c>
      <c r="J61" t="s">
        <v>24</v>
      </c>
    </row>
    <row r="62" spans="1:10" x14ac:dyDescent="0.3">
      <c r="A62">
        <v>61</v>
      </c>
      <c r="B62" t="s">
        <v>61</v>
      </c>
      <c r="C62" t="s">
        <v>247</v>
      </c>
      <c r="D62" t="s">
        <v>12</v>
      </c>
      <c r="E62" t="s">
        <v>43</v>
      </c>
      <c r="F62" t="s">
        <v>248</v>
      </c>
      <c r="G62" t="s">
        <v>249</v>
      </c>
      <c r="H62">
        <v>0</v>
      </c>
      <c r="I62" t="s">
        <v>16</v>
      </c>
      <c r="J62" t="s">
        <v>35</v>
      </c>
    </row>
    <row r="63" spans="1:10" x14ac:dyDescent="0.3">
      <c r="A63">
        <v>62</v>
      </c>
      <c r="B63" t="s">
        <v>10</v>
      </c>
      <c r="C63" t="s">
        <v>250</v>
      </c>
      <c r="D63" t="s">
        <v>53</v>
      </c>
      <c r="E63" t="s">
        <v>32</v>
      </c>
      <c r="F63" t="s">
        <v>251</v>
      </c>
      <c r="G63" t="s">
        <v>252</v>
      </c>
      <c r="H63">
        <v>20</v>
      </c>
      <c r="I63" t="s">
        <v>16</v>
      </c>
      <c r="J63" t="s">
        <v>24</v>
      </c>
    </row>
    <row r="64" spans="1:10" x14ac:dyDescent="0.3">
      <c r="A64">
        <v>63</v>
      </c>
      <c r="B64" t="s">
        <v>166</v>
      </c>
      <c r="C64" t="s">
        <v>253</v>
      </c>
      <c r="D64" t="s">
        <v>12</v>
      </c>
      <c r="E64" t="s">
        <v>48</v>
      </c>
      <c r="F64" t="s">
        <v>254</v>
      </c>
      <c r="G64" t="s">
        <v>255</v>
      </c>
      <c r="H64">
        <v>30</v>
      </c>
      <c r="I64" t="s">
        <v>23</v>
      </c>
      <c r="J64" t="s">
        <v>35</v>
      </c>
    </row>
    <row r="65" spans="1:10" x14ac:dyDescent="0.3">
      <c r="A65">
        <v>64</v>
      </c>
      <c r="B65" t="s">
        <v>256</v>
      </c>
      <c r="C65" t="s">
        <v>257</v>
      </c>
      <c r="D65" t="s">
        <v>27</v>
      </c>
      <c r="E65" t="s">
        <v>13</v>
      </c>
      <c r="F65" t="s">
        <v>258</v>
      </c>
      <c r="G65" t="s">
        <v>259</v>
      </c>
      <c r="H65">
        <v>10</v>
      </c>
      <c r="I65" t="s">
        <v>23</v>
      </c>
      <c r="J65" t="s">
        <v>35</v>
      </c>
    </row>
    <row r="66" spans="1:10" x14ac:dyDescent="0.3">
      <c r="A66">
        <v>65</v>
      </c>
      <c r="B66" t="s">
        <v>260</v>
      </c>
      <c r="C66" t="s">
        <v>261</v>
      </c>
      <c r="D66" t="s">
        <v>42</v>
      </c>
      <c r="E66" t="s">
        <v>20</v>
      </c>
      <c r="F66" t="s">
        <v>262</v>
      </c>
      <c r="G66" t="s">
        <v>263</v>
      </c>
      <c r="H66">
        <v>30</v>
      </c>
      <c r="I66" t="s">
        <v>23</v>
      </c>
      <c r="J66" t="s">
        <v>24</v>
      </c>
    </row>
    <row r="67" spans="1:10" x14ac:dyDescent="0.3">
      <c r="A67">
        <v>66</v>
      </c>
      <c r="B67" t="s">
        <v>264</v>
      </c>
      <c r="C67" t="s">
        <v>265</v>
      </c>
      <c r="D67" t="s">
        <v>12</v>
      </c>
      <c r="E67" t="s">
        <v>13</v>
      </c>
      <c r="F67" t="s">
        <v>266</v>
      </c>
      <c r="G67" t="s">
        <v>267</v>
      </c>
      <c r="H67">
        <v>0</v>
      </c>
      <c r="I67" t="s">
        <v>16</v>
      </c>
      <c r="J67" t="s">
        <v>35</v>
      </c>
    </row>
    <row r="68" spans="1:10" x14ac:dyDescent="0.3">
      <c r="A68">
        <v>67</v>
      </c>
      <c r="B68" t="s">
        <v>111</v>
      </c>
      <c r="C68" t="s">
        <v>268</v>
      </c>
      <c r="D68" t="s">
        <v>58</v>
      </c>
      <c r="E68" t="s">
        <v>43</v>
      </c>
      <c r="F68" t="s">
        <v>269</v>
      </c>
      <c r="G68" t="s">
        <v>270</v>
      </c>
      <c r="H68">
        <v>30</v>
      </c>
      <c r="I68" t="s">
        <v>16</v>
      </c>
      <c r="J68" t="s">
        <v>17</v>
      </c>
    </row>
    <row r="69" spans="1:10" x14ac:dyDescent="0.3">
      <c r="A69">
        <v>68</v>
      </c>
      <c r="B69" t="s">
        <v>271</v>
      </c>
      <c r="C69" t="s">
        <v>272</v>
      </c>
      <c r="D69" t="s">
        <v>27</v>
      </c>
      <c r="E69" t="s">
        <v>13</v>
      </c>
      <c r="F69" t="s">
        <v>273</v>
      </c>
      <c r="G69" t="s">
        <v>274</v>
      </c>
      <c r="H69">
        <v>20</v>
      </c>
      <c r="I69" t="s">
        <v>16</v>
      </c>
      <c r="J69" t="s">
        <v>35</v>
      </c>
    </row>
    <row r="70" spans="1:10" x14ac:dyDescent="0.3">
      <c r="A70">
        <v>69</v>
      </c>
      <c r="B70" t="s">
        <v>275</v>
      </c>
      <c r="C70" t="s">
        <v>276</v>
      </c>
      <c r="D70" t="s">
        <v>27</v>
      </c>
      <c r="E70" t="s">
        <v>48</v>
      </c>
      <c r="F70" t="s">
        <v>277</v>
      </c>
      <c r="G70" t="s">
        <v>278</v>
      </c>
      <c r="H70">
        <v>0</v>
      </c>
      <c r="I70" t="s">
        <v>16</v>
      </c>
      <c r="J70" t="s">
        <v>35</v>
      </c>
    </row>
    <row r="71" spans="1:10" x14ac:dyDescent="0.3">
      <c r="A71">
        <v>70</v>
      </c>
      <c r="B71" t="s">
        <v>185</v>
      </c>
      <c r="C71" t="s">
        <v>279</v>
      </c>
      <c r="D71" t="s">
        <v>42</v>
      </c>
      <c r="E71" t="s">
        <v>43</v>
      </c>
      <c r="F71" t="s">
        <v>280</v>
      </c>
      <c r="G71" t="s">
        <v>281</v>
      </c>
      <c r="H71">
        <v>30</v>
      </c>
      <c r="I71" t="s">
        <v>16</v>
      </c>
      <c r="J71" t="s">
        <v>17</v>
      </c>
    </row>
    <row r="72" spans="1:10" x14ac:dyDescent="0.3">
      <c r="A72">
        <v>71</v>
      </c>
      <c r="B72" t="s">
        <v>212</v>
      </c>
      <c r="C72" t="s">
        <v>282</v>
      </c>
      <c r="D72" t="s">
        <v>42</v>
      </c>
      <c r="E72" t="s">
        <v>13</v>
      </c>
      <c r="F72" t="s">
        <v>283</v>
      </c>
      <c r="G72" t="s">
        <v>284</v>
      </c>
      <c r="H72">
        <v>10</v>
      </c>
      <c r="I72" t="s">
        <v>23</v>
      </c>
      <c r="J72" t="s">
        <v>17</v>
      </c>
    </row>
    <row r="73" spans="1:10" x14ac:dyDescent="0.3">
      <c r="A73">
        <v>72</v>
      </c>
      <c r="B73" t="s">
        <v>271</v>
      </c>
      <c r="C73" t="s">
        <v>285</v>
      </c>
      <c r="D73" t="s">
        <v>42</v>
      </c>
      <c r="E73" t="s">
        <v>43</v>
      </c>
      <c r="F73" t="s">
        <v>286</v>
      </c>
      <c r="G73" t="s">
        <v>287</v>
      </c>
      <c r="H73">
        <v>0</v>
      </c>
      <c r="I73" t="s">
        <v>16</v>
      </c>
      <c r="J73" t="s">
        <v>35</v>
      </c>
    </row>
    <row r="74" spans="1:10" x14ac:dyDescent="0.3">
      <c r="A74">
        <v>73</v>
      </c>
      <c r="B74" t="s">
        <v>152</v>
      </c>
      <c r="C74" t="s">
        <v>288</v>
      </c>
      <c r="D74" t="s">
        <v>58</v>
      </c>
      <c r="E74" t="s">
        <v>48</v>
      </c>
      <c r="F74" t="s">
        <v>289</v>
      </c>
      <c r="G74" t="s">
        <v>290</v>
      </c>
      <c r="H74">
        <v>10</v>
      </c>
      <c r="I74" t="s">
        <v>23</v>
      </c>
      <c r="J74" t="s">
        <v>17</v>
      </c>
    </row>
    <row r="75" spans="1:10" x14ac:dyDescent="0.3">
      <c r="A75">
        <v>74</v>
      </c>
      <c r="B75" t="s">
        <v>216</v>
      </c>
      <c r="C75" t="s">
        <v>291</v>
      </c>
      <c r="D75" t="s">
        <v>12</v>
      </c>
      <c r="E75" t="s">
        <v>32</v>
      </c>
      <c r="F75" t="s">
        <v>292</v>
      </c>
      <c r="G75" t="s">
        <v>293</v>
      </c>
      <c r="H75">
        <v>0</v>
      </c>
      <c r="I75" t="s">
        <v>23</v>
      </c>
      <c r="J75" t="s">
        <v>17</v>
      </c>
    </row>
    <row r="76" spans="1:10" x14ac:dyDescent="0.3">
      <c r="A76">
        <v>75</v>
      </c>
      <c r="B76" t="s">
        <v>294</v>
      </c>
      <c r="C76" t="s">
        <v>295</v>
      </c>
      <c r="D76" t="s">
        <v>53</v>
      </c>
      <c r="E76" t="s">
        <v>48</v>
      </c>
      <c r="F76" t="s">
        <v>296</v>
      </c>
      <c r="G76" t="s">
        <v>297</v>
      </c>
      <c r="H76">
        <v>10</v>
      </c>
      <c r="I76" t="s">
        <v>16</v>
      </c>
      <c r="J76" t="s">
        <v>17</v>
      </c>
    </row>
    <row r="77" spans="1:10" x14ac:dyDescent="0.3">
      <c r="A77">
        <v>76</v>
      </c>
      <c r="B77" t="s">
        <v>298</v>
      </c>
      <c r="C77" t="s">
        <v>299</v>
      </c>
      <c r="D77" t="s">
        <v>53</v>
      </c>
      <c r="E77" t="s">
        <v>48</v>
      </c>
      <c r="F77" t="s">
        <v>300</v>
      </c>
      <c r="G77" t="s">
        <v>301</v>
      </c>
      <c r="H77">
        <v>20</v>
      </c>
      <c r="I77" t="s">
        <v>23</v>
      </c>
      <c r="J77" t="s">
        <v>35</v>
      </c>
    </row>
    <row r="78" spans="1:10" x14ac:dyDescent="0.3">
      <c r="A78">
        <v>77</v>
      </c>
      <c r="B78" t="s">
        <v>122</v>
      </c>
      <c r="C78" t="s">
        <v>302</v>
      </c>
      <c r="D78" t="s">
        <v>53</v>
      </c>
      <c r="E78" t="s">
        <v>43</v>
      </c>
      <c r="F78" t="s">
        <v>303</v>
      </c>
      <c r="G78" t="s">
        <v>304</v>
      </c>
      <c r="H78">
        <v>30</v>
      </c>
      <c r="I78" t="s">
        <v>23</v>
      </c>
      <c r="J78" t="s">
        <v>35</v>
      </c>
    </row>
    <row r="79" spans="1:10" x14ac:dyDescent="0.3">
      <c r="A79">
        <v>78</v>
      </c>
      <c r="B79" t="s">
        <v>305</v>
      </c>
      <c r="C79" t="s">
        <v>306</v>
      </c>
      <c r="D79" t="s">
        <v>42</v>
      </c>
      <c r="E79" t="s">
        <v>13</v>
      </c>
      <c r="F79" t="s">
        <v>307</v>
      </c>
      <c r="G79" t="s">
        <v>308</v>
      </c>
      <c r="H79">
        <v>10</v>
      </c>
      <c r="I79" t="s">
        <v>23</v>
      </c>
      <c r="J79" t="s">
        <v>35</v>
      </c>
    </row>
    <row r="80" spans="1:10" x14ac:dyDescent="0.3">
      <c r="A80">
        <v>79</v>
      </c>
      <c r="B80" t="s">
        <v>309</v>
      </c>
      <c r="C80" t="s">
        <v>310</v>
      </c>
      <c r="D80" t="s">
        <v>27</v>
      </c>
      <c r="E80" t="s">
        <v>32</v>
      </c>
      <c r="F80" t="s">
        <v>311</v>
      </c>
      <c r="G80" t="s">
        <v>312</v>
      </c>
      <c r="H80">
        <v>20</v>
      </c>
      <c r="I80" t="s">
        <v>16</v>
      </c>
      <c r="J80" t="s">
        <v>24</v>
      </c>
    </row>
    <row r="81" spans="1:10" x14ac:dyDescent="0.3">
      <c r="A81">
        <v>80</v>
      </c>
      <c r="B81" t="s">
        <v>313</v>
      </c>
      <c r="C81" t="s">
        <v>314</v>
      </c>
      <c r="D81" t="s">
        <v>12</v>
      </c>
      <c r="E81" t="s">
        <v>48</v>
      </c>
      <c r="F81" t="s">
        <v>315</v>
      </c>
      <c r="G81" t="s">
        <v>316</v>
      </c>
      <c r="H81">
        <v>30</v>
      </c>
      <c r="I81" t="s">
        <v>23</v>
      </c>
      <c r="J81" t="s">
        <v>17</v>
      </c>
    </row>
    <row r="82" spans="1:10" x14ac:dyDescent="0.3">
      <c r="A82">
        <v>81</v>
      </c>
      <c r="B82" t="s">
        <v>10</v>
      </c>
      <c r="C82" t="s">
        <v>317</v>
      </c>
      <c r="D82" t="s">
        <v>12</v>
      </c>
      <c r="E82" t="s">
        <v>13</v>
      </c>
      <c r="F82" t="s">
        <v>318</v>
      </c>
      <c r="G82" t="s">
        <v>319</v>
      </c>
      <c r="H82">
        <v>20</v>
      </c>
      <c r="I82" t="s">
        <v>16</v>
      </c>
      <c r="J82" t="s">
        <v>17</v>
      </c>
    </row>
    <row r="83" spans="1:10" x14ac:dyDescent="0.3">
      <c r="A83">
        <v>82</v>
      </c>
      <c r="B83" t="s">
        <v>144</v>
      </c>
      <c r="C83" t="s">
        <v>320</v>
      </c>
      <c r="D83" t="s">
        <v>12</v>
      </c>
      <c r="E83" t="s">
        <v>43</v>
      </c>
      <c r="F83" t="s">
        <v>321</v>
      </c>
      <c r="G83" t="s">
        <v>322</v>
      </c>
      <c r="H83">
        <v>20</v>
      </c>
      <c r="I83" t="s">
        <v>16</v>
      </c>
      <c r="J83" t="s">
        <v>24</v>
      </c>
    </row>
    <row r="84" spans="1:10" x14ac:dyDescent="0.3">
      <c r="A84">
        <v>83</v>
      </c>
      <c r="B84" t="s">
        <v>256</v>
      </c>
      <c r="C84" t="s">
        <v>323</v>
      </c>
      <c r="D84" t="s">
        <v>12</v>
      </c>
      <c r="E84" t="s">
        <v>20</v>
      </c>
      <c r="F84" t="s">
        <v>324</v>
      </c>
      <c r="G84" t="s">
        <v>325</v>
      </c>
      <c r="H84">
        <v>20</v>
      </c>
      <c r="I84" t="s">
        <v>16</v>
      </c>
      <c r="J84" t="s">
        <v>24</v>
      </c>
    </row>
    <row r="85" spans="1:10" x14ac:dyDescent="0.3">
      <c r="A85">
        <v>84</v>
      </c>
      <c r="B85" t="s">
        <v>326</v>
      </c>
      <c r="C85" t="s">
        <v>327</v>
      </c>
      <c r="D85" t="s">
        <v>58</v>
      </c>
      <c r="E85" t="s">
        <v>48</v>
      </c>
      <c r="F85" t="s">
        <v>328</v>
      </c>
      <c r="G85" t="s">
        <v>329</v>
      </c>
      <c r="H85">
        <v>20</v>
      </c>
      <c r="I85" t="s">
        <v>16</v>
      </c>
      <c r="J85" t="s">
        <v>35</v>
      </c>
    </row>
    <row r="86" spans="1:10" x14ac:dyDescent="0.3">
      <c r="A86">
        <v>85</v>
      </c>
      <c r="B86" t="s">
        <v>92</v>
      </c>
      <c r="C86" t="s">
        <v>330</v>
      </c>
      <c r="D86" t="s">
        <v>58</v>
      </c>
      <c r="E86" t="s">
        <v>20</v>
      </c>
      <c r="F86" t="s">
        <v>331</v>
      </c>
      <c r="G86" t="s">
        <v>332</v>
      </c>
      <c r="H86">
        <v>30</v>
      </c>
      <c r="I86" t="s">
        <v>16</v>
      </c>
      <c r="J86" t="s">
        <v>17</v>
      </c>
    </row>
    <row r="87" spans="1:10" x14ac:dyDescent="0.3">
      <c r="A87">
        <v>86</v>
      </c>
      <c r="B87" t="s">
        <v>65</v>
      </c>
      <c r="C87" t="s">
        <v>333</v>
      </c>
      <c r="D87" t="s">
        <v>53</v>
      </c>
      <c r="E87" t="s">
        <v>32</v>
      </c>
      <c r="F87" t="s">
        <v>334</v>
      </c>
      <c r="G87" t="s">
        <v>335</v>
      </c>
      <c r="H87">
        <v>0</v>
      </c>
      <c r="I87" t="s">
        <v>16</v>
      </c>
      <c r="J87" t="s">
        <v>17</v>
      </c>
    </row>
    <row r="88" spans="1:10" x14ac:dyDescent="0.3">
      <c r="A88">
        <v>87</v>
      </c>
      <c r="B88" t="s">
        <v>326</v>
      </c>
      <c r="C88" t="s">
        <v>336</v>
      </c>
      <c r="D88" t="s">
        <v>27</v>
      </c>
      <c r="E88" t="s">
        <v>43</v>
      </c>
      <c r="F88" t="s">
        <v>337</v>
      </c>
      <c r="G88" t="s">
        <v>338</v>
      </c>
      <c r="H88">
        <v>30</v>
      </c>
      <c r="I88" t="s">
        <v>23</v>
      </c>
      <c r="J88" t="s">
        <v>24</v>
      </c>
    </row>
    <row r="89" spans="1:10" x14ac:dyDescent="0.3">
      <c r="A89">
        <v>88</v>
      </c>
      <c r="B89" t="s">
        <v>36</v>
      </c>
      <c r="C89" t="s">
        <v>339</v>
      </c>
      <c r="D89" t="s">
        <v>53</v>
      </c>
      <c r="E89" t="s">
        <v>20</v>
      </c>
      <c r="F89" t="s">
        <v>340</v>
      </c>
      <c r="G89" t="s">
        <v>341</v>
      </c>
      <c r="H89">
        <v>0</v>
      </c>
      <c r="I89" t="s">
        <v>23</v>
      </c>
      <c r="J89" t="s">
        <v>24</v>
      </c>
    </row>
    <row r="90" spans="1:10" x14ac:dyDescent="0.3">
      <c r="A90">
        <v>89</v>
      </c>
      <c r="B90" t="s">
        <v>342</v>
      </c>
      <c r="C90" t="s">
        <v>343</v>
      </c>
      <c r="D90" t="s">
        <v>12</v>
      </c>
      <c r="E90" t="s">
        <v>32</v>
      </c>
      <c r="F90" t="s">
        <v>344</v>
      </c>
      <c r="G90" t="s">
        <v>345</v>
      </c>
      <c r="H90">
        <v>30</v>
      </c>
      <c r="I90" t="s">
        <v>16</v>
      </c>
      <c r="J90" t="s">
        <v>24</v>
      </c>
    </row>
    <row r="91" spans="1:10" x14ac:dyDescent="0.3">
      <c r="A91">
        <v>90</v>
      </c>
      <c r="B91" t="s">
        <v>271</v>
      </c>
      <c r="C91" t="s">
        <v>346</v>
      </c>
      <c r="D91" t="s">
        <v>58</v>
      </c>
      <c r="E91" t="s">
        <v>43</v>
      </c>
      <c r="F91" t="s">
        <v>347</v>
      </c>
      <c r="G91" t="s">
        <v>348</v>
      </c>
      <c r="H91">
        <v>30</v>
      </c>
      <c r="I91" t="s">
        <v>23</v>
      </c>
      <c r="J91" t="s">
        <v>24</v>
      </c>
    </row>
    <row r="92" spans="1:10" x14ac:dyDescent="0.3">
      <c r="A92">
        <v>91</v>
      </c>
      <c r="B92" t="s">
        <v>349</v>
      </c>
      <c r="C92" t="s">
        <v>350</v>
      </c>
      <c r="D92" t="s">
        <v>42</v>
      </c>
      <c r="E92" t="s">
        <v>43</v>
      </c>
      <c r="F92" t="s">
        <v>351</v>
      </c>
      <c r="G92" t="s">
        <v>352</v>
      </c>
      <c r="H92">
        <v>0</v>
      </c>
      <c r="I92" t="s">
        <v>16</v>
      </c>
      <c r="J92" t="s">
        <v>24</v>
      </c>
    </row>
    <row r="93" spans="1:10" x14ac:dyDescent="0.3">
      <c r="A93">
        <v>92</v>
      </c>
      <c r="B93" t="s">
        <v>192</v>
      </c>
      <c r="C93" t="s">
        <v>353</v>
      </c>
      <c r="D93" t="s">
        <v>58</v>
      </c>
      <c r="E93" t="s">
        <v>13</v>
      </c>
      <c r="F93" t="s">
        <v>354</v>
      </c>
      <c r="G93" t="s">
        <v>355</v>
      </c>
      <c r="H93">
        <v>30</v>
      </c>
      <c r="I93" t="s">
        <v>16</v>
      </c>
      <c r="J93" t="s">
        <v>24</v>
      </c>
    </row>
    <row r="94" spans="1:10" x14ac:dyDescent="0.3">
      <c r="A94">
        <v>93</v>
      </c>
      <c r="B94" t="s">
        <v>356</v>
      </c>
      <c r="C94" t="s">
        <v>357</v>
      </c>
      <c r="D94" t="s">
        <v>12</v>
      </c>
      <c r="E94" t="s">
        <v>48</v>
      </c>
      <c r="F94" t="s">
        <v>358</v>
      </c>
      <c r="G94" t="s">
        <v>359</v>
      </c>
      <c r="H94">
        <v>10</v>
      </c>
      <c r="I94" t="s">
        <v>23</v>
      </c>
      <c r="J94" t="s">
        <v>24</v>
      </c>
    </row>
    <row r="95" spans="1:10" x14ac:dyDescent="0.3">
      <c r="A95">
        <v>94</v>
      </c>
      <c r="B95" t="s">
        <v>342</v>
      </c>
      <c r="C95" t="s">
        <v>360</v>
      </c>
      <c r="D95" t="s">
        <v>42</v>
      </c>
      <c r="E95" t="s">
        <v>48</v>
      </c>
      <c r="F95" t="s">
        <v>361</v>
      </c>
      <c r="G95" t="s">
        <v>362</v>
      </c>
      <c r="H95">
        <v>0</v>
      </c>
      <c r="I95" t="s">
        <v>16</v>
      </c>
      <c r="J95" t="s">
        <v>24</v>
      </c>
    </row>
    <row r="96" spans="1:10" x14ac:dyDescent="0.3">
      <c r="A96">
        <v>95</v>
      </c>
      <c r="B96" t="s">
        <v>363</v>
      </c>
      <c r="C96" t="s">
        <v>364</v>
      </c>
      <c r="D96" t="s">
        <v>12</v>
      </c>
      <c r="E96" t="s">
        <v>32</v>
      </c>
      <c r="F96" t="s">
        <v>365</v>
      </c>
      <c r="G96" t="s">
        <v>366</v>
      </c>
      <c r="H96">
        <v>0</v>
      </c>
      <c r="I96" t="s">
        <v>23</v>
      </c>
      <c r="J96" t="s">
        <v>17</v>
      </c>
    </row>
    <row r="97" spans="1:10" x14ac:dyDescent="0.3">
      <c r="A97">
        <v>96</v>
      </c>
      <c r="B97" t="s">
        <v>136</v>
      </c>
      <c r="C97" t="s">
        <v>367</v>
      </c>
      <c r="D97" t="s">
        <v>58</v>
      </c>
      <c r="E97" t="s">
        <v>48</v>
      </c>
      <c r="F97" t="s">
        <v>368</v>
      </c>
      <c r="G97" t="s">
        <v>369</v>
      </c>
      <c r="H97">
        <v>10</v>
      </c>
      <c r="I97" t="s">
        <v>23</v>
      </c>
      <c r="J97" t="s">
        <v>24</v>
      </c>
    </row>
    <row r="98" spans="1:10" x14ac:dyDescent="0.3">
      <c r="A98">
        <v>97</v>
      </c>
      <c r="B98" t="s">
        <v>370</v>
      </c>
      <c r="C98" t="s">
        <v>371</v>
      </c>
      <c r="D98" t="s">
        <v>53</v>
      </c>
      <c r="E98" t="s">
        <v>48</v>
      </c>
      <c r="F98" t="s">
        <v>372</v>
      </c>
      <c r="G98" t="s">
        <v>373</v>
      </c>
      <c r="H98">
        <v>30</v>
      </c>
      <c r="I98" t="s">
        <v>16</v>
      </c>
      <c r="J98" t="s">
        <v>24</v>
      </c>
    </row>
    <row r="99" spans="1:10" x14ac:dyDescent="0.3">
      <c r="A99">
        <v>98</v>
      </c>
      <c r="B99" t="s">
        <v>264</v>
      </c>
      <c r="C99" t="s">
        <v>374</v>
      </c>
      <c r="D99" t="s">
        <v>53</v>
      </c>
      <c r="E99" t="s">
        <v>20</v>
      </c>
      <c r="F99" t="s">
        <v>375</v>
      </c>
      <c r="G99" t="s">
        <v>376</v>
      </c>
      <c r="H99">
        <v>20</v>
      </c>
      <c r="I99" t="s">
        <v>16</v>
      </c>
      <c r="J99" t="s">
        <v>35</v>
      </c>
    </row>
    <row r="100" spans="1:10" x14ac:dyDescent="0.3">
      <c r="A100">
        <v>99</v>
      </c>
      <c r="B100" t="s">
        <v>260</v>
      </c>
      <c r="C100" t="s">
        <v>377</v>
      </c>
      <c r="D100" t="s">
        <v>42</v>
      </c>
      <c r="E100" t="s">
        <v>32</v>
      </c>
      <c r="F100" t="s">
        <v>378</v>
      </c>
      <c r="G100" t="s">
        <v>379</v>
      </c>
      <c r="H100">
        <v>20</v>
      </c>
      <c r="I100" t="s">
        <v>16</v>
      </c>
      <c r="J100" t="s">
        <v>17</v>
      </c>
    </row>
    <row r="101" spans="1:10" x14ac:dyDescent="0.3">
      <c r="A101">
        <v>100</v>
      </c>
      <c r="B101" t="s">
        <v>10</v>
      </c>
      <c r="C101" t="s">
        <v>380</v>
      </c>
      <c r="D101" t="s">
        <v>42</v>
      </c>
      <c r="E101" t="s">
        <v>43</v>
      </c>
      <c r="F101" t="s">
        <v>381</v>
      </c>
      <c r="G101" t="s">
        <v>382</v>
      </c>
      <c r="H101">
        <v>10</v>
      </c>
      <c r="I101" t="s">
        <v>23</v>
      </c>
      <c r="J101" t="s">
        <v>35</v>
      </c>
    </row>
    <row r="104" spans="1:10" ht="23.4" x14ac:dyDescent="0.45">
      <c r="B104" s="2" t="s">
        <v>407</v>
      </c>
      <c r="C104" s="2" t="s">
        <v>423</v>
      </c>
      <c r="D104" s="2" t="s">
        <v>424</v>
      </c>
    </row>
    <row r="105" spans="1:10" x14ac:dyDescent="0.3">
      <c r="B105" t="s">
        <v>13</v>
      </c>
      <c r="C105">
        <f>COUNTIF(E2:E101, B105)</f>
        <v>17</v>
      </c>
      <c r="D105" s="3">
        <f>SUMIF(E:E, B105, H:H)</f>
        <v>240</v>
      </c>
      <c r="F105" t="s">
        <v>408</v>
      </c>
      <c r="G105" t="s">
        <v>409</v>
      </c>
    </row>
    <row r="106" spans="1:10" x14ac:dyDescent="0.3">
      <c r="B106" t="s">
        <v>20</v>
      </c>
      <c r="C106">
        <f t="shared" ref="C106:C109" si="0">COUNTIF(E3:E102, B106)</f>
        <v>26</v>
      </c>
      <c r="D106" s="3">
        <f t="shared" ref="D106:D109" si="1">SUMIF(E:E, B106, H:H)</f>
        <v>420</v>
      </c>
      <c r="F106" t="s">
        <v>23</v>
      </c>
      <c r="G106">
        <f>COUNTIF(I2:I101, F106)</f>
        <v>48</v>
      </c>
    </row>
    <row r="107" spans="1:10" x14ac:dyDescent="0.3">
      <c r="B107" t="s">
        <v>32</v>
      </c>
      <c r="C107">
        <f t="shared" si="0"/>
        <v>15</v>
      </c>
      <c r="D107" s="3">
        <f t="shared" si="1"/>
        <v>140</v>
      </c>
      <c r="F107" t="s">
        <v>16</v>
      </c>
      <c r="G107">
        <f>COUNTIF(I2:I101, F107)</f>
        <v>52</v>
      </c>
    </row>
    <row r="108" spans="1:10" x14ac:dyDescent="0.3">
      <c r="B108" t="s">
        <v>43</v>
      </c>
      <c r="C108">
        <f t="shared" si="0"/>
        <v>23</v>
      </c>
      <c r="D108" s="3">
        <f t="shared" si="1"/>
        <v>360</v>
      </c>
    </row>
    <row r="109" spans="1:10" x14ac:dyDescent="0.3">
      <c r="B109" t="s">
        <v>48</v>
      </c>
      <c r="C109">
        <f t="shared" si="0"/>
        <v>19</v>
      </c>
      <c r="D109" s="3">
        <f t="shared" si="1"/>
        <v>330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9E11-4CF9-41C5-93D7-79E3F940DCF6}">
  <dimension ref="A1:P21"/>
  <sheetViews>
    <sheetView topLeftCell="B1" zoomScale="85" workbookViewId="0">
      <selection activeCell="G27" sqref="G27"/>
    </sheetView>
  </sheetViews>
  <sheetFormatPr defaultRowHeight="14.4" x14ac:dyDescent="0.3"/>
  <cols>
    <col min="1" max="1" width="16.109375" customWidth="1"/>
    <col min="2" max="2" width="22.5546875" customWidth="1"/>
    <col min="3" max="3" width="14.5546875" customWidth="1"/>
    <col min="4" max="4" width="10.77734375" bestFit="1" customWidth="1"/>
    <col min="5" max="5" width="9" bestFit="1" customWidth="1"/>
    <col min="6" max="6" width="16.21875" customWidth="1"/>
    <col min="7" max="7" width="28.88671875" customWidth="1"/>
    <col min="8" max="8" width="21.109375" customWidth="1"/>
    <col min="9" max="9" width="18.88671875" customWidth="1"/>
    <col min="10" max="10" width="18.109375" customWidth="1"/>
    <col min="11" max="11" width="17.5546875" customWidth="1"/>
    <col min="12" max="12" width="27.6640625" customWidth="1"/>
    <col min="13" max="13" width="9.6640625" customWidth="1"/>
  </cols>
  <sheetData>
    <row r="1" spans="1:16" x14ac:dyDescent="0.3">
      <c r="A1" t="s">
        <v>383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</row>
    <row r="2" spans="1:16" x14ac:dyDescent="0.3">
      <c r="A2" t="s">
        <v>410</v>
      </c>
      <c r="B2" t="s">
        <v>13</v>
      </c>
      <c r="C2" s="1">
        <v>46063</v>
      </c>
      <c r="D2" s="1">
        <v>46065</v>
      </c>
      <c r="E2">
        <v>48</v>
      </c>
      <c r="F2" t="s">
        <v>23</v>
      </c>
      <c r="G2" t="s">
        <v>396</v>
      </c>
      <c r="H2">
        <v>10</v>
      </c>
      <c r="I2">
        <v>9000</v>
      </c>
      <c r="J2">
        <v>180</v>
      </c>
      <c r="K2" t="s">
        <v>397</v>
      </c>
      <c r="L2" t="s">
        <v>411</v>
      </c>
      <c r="M2" t="s">
        <v>398</v>
      </c>
      <c r="O2" t="s">
        <v>425</v>
      </c>
      <c r="P2" t="s">
        <v>426</v>
      </c>
    </row>
    <row r="3" spans="1:16" x14ac:dyDescent="0.3">
      <c r="A3" t="s">
        <v>412</v>
      </c>
      <c r="B3" t="s">
        <v>20</v>
      </c>
      <c r="C3" s="1">
        <v>46073</v>
      </c>
      <c r="D3" s="1">
        <v>46075</v>
      </c>
      <c r="E3">
        <v>48</v>
      </c>
      <c r="F3" t="s">
        <v>399</v>
      </c>
      <c r="G3" t="s">
        <v>413</v>
      </c>
      <c r="H3">
        <v>20</v>
      </c>
      <c r="I3">
        <v>15000</v>
      </c>
      <c r="J3">
        <v>140</v>
      </c>
      <c r="K3" t="s">
        <v>406</v>
      </c>
      <c r="L3" t="s">
        <v>414</v>
      </c>
      <c r="M3" t="s">
        <v>400</v>
      </c>
      <c r="O3">
        <v>48</v>
      </c>
      <c r="P3">
        <f>COUNTIF(E:E, O3)</f>
        <v>4</v>
      </c>
    </row>
    <row r="4" spans="1:16" x14ac:dyDescent="0.3">
      <c r="A4" t="s">
        <v>415</v>
      </c>
      <c r="B4" t="s">
        <v>32</v>
      </c>
      <c r="C4" s="1">
        <v>46096</v>
      </c>
      <c r="D4" s="1">
        <v>46098</v>
      </c>
      <c r="E4">
        <v>48</v>
      </c>
      <c r="F4" t="s">
        <v>23</v>
      </c>
      <c r="G4" t="s">
        <v>401</v>
      </c>
      <c r="H4">
        <v>15</v>
      </c>
      <c r="I4">
        <v>12000</v>
      </c>
      <c r="J4">
        <v>160</v>
      </c>
      <c r="K4" t="s">
        <v>402</v>
      </c>
      <c r="L4" t="s">
        <v>416</v>
      </c>
      <c r="M4" t="s">
        <v>400</v>
      </c>
      <c r="O4">
        <v>24</v>
      </c>
      <c r="P4">
        <f>COUNTIF(E:E, O4)</f>
        <v>1</v>
      </c>
    </row>
    <row r="5" spans="1:16" x14ac:dyDescent="0.3">
      <c r="A5" t="s">
        <v>417</v>
      </c>
      <c r="B5" t="s">
        <v>43</v>
      </c>
      <c r="C5" s="1">
        <v>46106</v>
      </c>
      <c r="D5" s="1">
        <v>46108</v>
      </c>
      <c r="E5">
        <v>48</v>
      </c>
      <c r="F5" t="s">
        <v>399</v>
      </c>
      <c r="G5" t="s">
        <v>418</v>
      </c>
      <c r="H5">
        <v>25</v>
      </c>
      <c r="I5">
        <v>18000</v>
      </c>
      <c r="J5">
        <v>120</v>
      </c>
      <c r="K5" t="s">
        <v>405</v>
      </c>
      <c r="L5" t="s">
        <v>419</v>
      </c>
      <c r="M5" t="s">
        <v>400</v>
      </c>
    </row>
    <row r="6" spans="1:16" x14ac:dyDescent="0.3">
      <c r="A6" t="s">
        <v>420</v>
      </c>
      <c r="B6" t="s">
        <v>48</v>
      </c>
      <c r="C6" s="1">
        <v>46117</v>
      </c>
      <c r="D6" s="1">
        <v>46118</v>
      </c>
      <c r="E6">
        <v>24</v>
      </c>
      <c r="F6" t="s">
        <v>399</v>
      </c>
      <c r="G6" t="s">
        <v>421</v>
      </c>
      <c r="H6">
        <v>10</v>
      </c>
      <c r="I6">
        <v>8000</v>
      </c>
      <c r="J6">
        <v>90</v>
      </c>
      <c r="K6" t="s">
        <v>403</v>
      </c>
      <c r="L6" t="s">
        <v>422</v>
      </c>
      <c r="M6" t="s">
        <v>404</v>
      </c>
    </row>
    <row r="7" spans="1:16" x14ac:dyDescent="0.3">
      <c r="C7" s="1"/>
      <c r="D7" s="1"/>
    </row>
    <row r="8" spans="1:16" x14ac:dyDescent="0.3">
      <c r="C8" s="1"/>
      <c r="D8" s="1"/>
    </row>
    <row r="10" spans="1:16" x14ac:dyDescent="0.3">
      <c r="B10" s="1"/>
      <c r="C10" s="1"/>
    </row>
    <row r="11" spans="1:16" x14ac:dyDescent="0.3">
      <c r="B11" s="1"/>
      <c r="C11" s="1"/>
    </row>
    <row r="12" spans="1:16" x14ac:dyDescent="0.3">
      <c r="B12" s="1"/>
      <c r="C12" s="1"/>
    </row>
    <row r="13" spans="1:16" x14ac:dyDescent="0.3">
      <c r="B13" s="1"/>
      <c r="C13" s="1"/>
    </row>
    <row r="14" spans="1:16" x14ac:dyDescent="0.3">
      <c r="B14" s="1"/>
      <c r="C14" s="1"/>
    </row>
    <row r="15" spans="1:16" x14ac:dyDescent="0.3">
      <c r="B15" s="1"/>
      <c r="C15" s="1"/>
    </row>
    <row r="16" spans="1:16" x14ac:dyDescent="0.3">
      <c r="B16" s="1"/>
      <c r="C16" s="1"/>
      <c r="L16" t="s">
        <v>430</v>
      </c>
      <c r="M16" t="s">
        <v>431</v>
      </c>
    </row>
    <row r="17" spans="2:13" x14ac:dyDescent="0.3">
      <c r="B17" s="1"/>
      <c r="C17" s="1"/>
      <c r="L17" t="s">
        <v>427</v>
      </c>
      <c r="M17">
        <f>AVERAGE(H2:H6)</f>
        <v>16</v>
      </c>
    </row>
    <row r="18" spans="2:13" x14ac:dyDescent="0.3">
      <c r="B18" s="1"/>
      <c r="C18" s="1"/>
      <c r="L18" t="s">
        <v>428</v>
      </c>
      <c r="M18">
        <f>AVERAGE(I2:I6)</f>
        <v>12400</v>
      </c>
    </row>
    <row r="19" spans="2:13" x14ac:dyDescent="0.3">
      <c r="B19" s="1"/>
      <c r="C19" s="1"/>
      <c r="L19" t="s">
        <v>429</v>
      </c>
      <c r="M19">
        <f>AVERAGE(J2:J6)</f>
        <v>138</v>
      </c>
    </row>
    <row r="20" spans="2:13" x14ac:dyDescent="0.3">
      <c r="B20" s="1"/>
      <c r="C20" s="1"/>
    </row>
    <row r="21" spans="2:13" x14ac:dyDescent="0.3">
      <c r="B21" s="1"/>
      <c r="C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Hackathon Mock Data</vt:lpstr>
      <vt:lpstr>Maintainer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Shurahbil Abdurrehman</cp:lastModifiedBy>
  <dcterms:created xsi:type="dcterms:W3CDTF">2026-01-07T18:15:42Z</dcterms:created>
  <dcterms:modified xsi:type="dcterms:W3CDTF">2026-01-08T03:46:15Z</dcterms:modified>
</cp:coreProperties>
</file>